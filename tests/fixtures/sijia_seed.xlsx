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1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Ex12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13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1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1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1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1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1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1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15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16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17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18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19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20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21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22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23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19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20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Ex24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charts/chart21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Ex25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22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23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24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25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26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Ex26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27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2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2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iao\sciebo\Lokale Daten\004_Labor\002_Messung_Cocktail_Mini Roma\Fr2026\"/>
    </mc:Choice>
  </mc:AlternateContent>
  <xr:revisionPtr revIDLastSave="0" documentId="13_ncr:1_{7803EF62-9957-4F9D-BBF7-62E6C9E9E627}" xr6:coauthVersionLast="47" xr6:coauthVersionMax="47" xr10:uidLastSave="{00000000-0000-0000-0000-000000000000}"/>
  <bookViews>
    <workbookView xWindow="-120" yWindow="-120" windowWidth="25440" windowHeight="15270" activeTab="6" xr2:uid="{D1B5D22C-0258-4098-A72A-E6843A56C7E6}"/>
  </bookViews>
  <sheets>
    <sheet name="25-26_Diagram" sheetId="8" r:id="rId1"/>
    <sheet name="2025-26_Measurement" sheetId="1" r:id="rId2"/>
    <sheet name="2026_Climate" sheetId="9" r:id="rId3"/>
    <sheet name="2025_Climate" sheetId="7" r:id="rId4"/>
    <sheet name="PivotTable 1" sheetId="6" r:id="rId5"/>
    <sheet name="PivotTable 2" sheetId="10" r:id="rId6"/>
    <sheet name="PivotTable 3" sheetId="11" r:id="rId7"/>
    <sheet name="Summer2025_Diagram" sheetId="4" state="hidden" r:id="rId8"/>
  </sheets>
  <definedNames>
    <definedName name="_xlchart.v1.0" hidden="1">'2025-26_Measurement'!$B$74:$B$129</definedName>
    <definedName name="_xlchart.v1.1" hidden="1">'2025-26_Measurement'!$P$74:$P$129</definedName>
    <definedName name="_xlchart.v1.10" hidden="1">'2025-26_Measurement'!$B$2:$B$129</definedName>
    <definedName name="_xlchart.v1.11" hidden="1">'2025-26_Measurement'!$R$74:$R$129</definedName>
    <definedName name="_xlchart.v1.12" hidden="1">'2025-26_Measurement'!$B$74:$B$129</definedName>
    <definedName name="_xlchart.v1.13" hidden="1">'2025-26_Measurement'!$J$74:$J$129</definedName>
    <definedName name="_xlchart.v1.14" hidden="1">'2025-26_Measurement'!$B$74:$B$129</definedName>
    <definedName name="_xlchart.v1.15" hidden="1">'2025-26_Measurement'!$S$74:$S$129</definedName>
    <definedName name="_xlchart.v1.16" hidden="1">'2025-26_Measurement'!$B$2:$B$129</definedName>
    <definedName name="_xlchart.v1.17" hidden="1">'2025-26_Measurement'!$L$1</definedName>
    <definedName name="_xlchart.v1.18" hidden="1">'2025-26_Measurement'!$L$74:$L$129</definedName>
    <definedName name="_xlchart.v1.19" hidden="1">'2025-26_Measurement'!$B$2:$B$129</definedName>
    <definedName name="_xlchart.v1.2" hidden="1">'2025-26_Measurement'!$B$2:$B$129</definedName>
    <definedName name="_xlchart.v1.20" hidden="1">'2025-26_Measurement'!$I$2:$I$129</definedName>
    <definedName name="_xlchart.v1.21" hidden="1">'2025-26_Measurement'!$B$74:$B$129</definedName>
    <definedName name="_xlchart.v1.22" hidden="1">'2025-26_Measurement'!$T$74:$T$129</definedName>
    <definedName name="_xlchart.v1.23" hidden="1">'25-26_Diagram'!$P$64</definedName>
    <definedName name="_xlchart.v1.24" hidden="1">'2025-26_Measurement'!$B$2:$B$129</definedName>
    <definedName name="_xlchart.v1.25" hidden="1">'2025-26_Measurement'!$K$1</definedName>
    <definedName name="_xlchart.v1.26" hidden="1">'2025-26_Measurement'!$K$2:$K$129</definedName>
    <definedName name="_xlchart.v1.27" hidden="1">'2025-26_Measurement'!$B$34:$B$129</definedName>
    <definedName name="_xlchart.v1.28" hidden="1">'2025-26_Measurement'!$M$34:$M$129</definedName>
    <definedName name="_xlchart.v1.29" hidden="1">'2025-26_Measurement'!$B$34:$B$129</definedName>
    <definedName name="_xlchart.v1.3" hidden="1">'2025-26_Measurement'!$F$2:$F$129</definedName>
    <definedName name="_xlchart.v1.30" hidden="1">'2025-26_Measurement'!$N$34:$N$129</definedName>
    <definedName name="_xlchart.v1.31" hidden="1">'2025-26_Measurement'!$B$2:$B$73</definedName>
    <definedName name="_xlchart.v1.32" hidden="1">'2025-26_Measurement'!$J$2:$J$73</definedName>
    <definedName name="_xlchart.v1.33" hidden="1">'2025-26_Measurement'!$B$2:$B$73</definedName>
    <definedName name="_xlchart.v1.34" hidden="1">'2025-26_Measurement'!$O$2:$O$73</definedName>
    <definedName name="_xlchart.v1.35" hidden="1">'2025-26_Measurement'!$B$2:$B$73</definedName>
    <definedName name="_xlchart.v1.36" hidden="1">'2025-26_Measurement'!$S$2:$S$73</definedName>
    <definedName name="_xlchart.v1.37" hidden="1">'2025-26_Measurement'!$B$2:$B$73</definedName>
    <definedName name="_xlchart.v1.38" hidden="1">'2025-26_Measurement'!$Q$2:$Q$73</definedName>
    <definedName name="_xlchart.v1.39" hidden="1">'2025-26_Measurement'!$B$2:$B$65</definedName>
    <definedName name="_xlchart.v1.4" hidden="1">'2025-26_Measurement'!$B$2:$B$129</definedName>
    <definedName name="_xlchart.v1.40" hidden="1">'2025-26_Measurement'!$G$2:$G$65</definedName>
    <definedName name="_xlchart.v1.41" hidden="1">'2025-26_Measurement'!$B$2:$B$73</definedName>
    <definedName name="_xlchart.v1.42" hidden="1">'2025-26_Measurement'!$L$1</definedName>
    <definedName name="_xlchart.v1.43" hidden="1">'2025-26_Measurement'!$L$2:$L$73</definedName>
    <definedName name="_xlchart.v1.44" hidden="1">'2025-26_Measurement'!$B$2:$B$73</definedName>
    <definedName name="_xlchart.v1.45" hidden="1">'2025-26_Measurement'!$T$2:$T$73</definedName>
    <definedName name="_xlchart.v1.46" hidden="1">Summer2025_Diagram!$P$64</definedName>
    <definedName name="_xlchart.v1.47" hidden="1">'2025-26_Measurement'!$B$2:$B$65</definedName>
    <definedName name="_xlchart.v1.48" hidden="1">'2025-26_Measurement'!$I$2:$I$65</definedName>
    <definedName name="_xlchart.v1.49" hidden="1">'2025-26_Measurement'!$B$2:$B$73</definedName>
    <definedName name="_xlchart.v1.5" hidden="1">'2025-26_Measurement'!$G$2:$G$129</definedName>
    <definedName name="_xlchart.v1.50" hidden="1">'2025-26_Measurement'!$R$2:$R$73</definedName>
    <definedName name="_xlchart.v1.51" hidden="1">'2025-26_Measurement'!$B$2:$B$73</definedName>
    <definedName name="_xlchart.v1.52" hidden="1">'2025-26_Measurement'!$P$2:$P$73</definedName>
    <definedName name="_xlchart.v1.53" hidden="1">'2025-26_Measurement'!$B$2:$B$65</definedName>
    <definedName name="_xlchart.v1.54" hidden="1">'2025-26_Measurement'!$F$2:$F$65</definedName>
    <definedName name="_xlchart.v1.55" hidden="1">'2025-26_Measurement'!$B$34:$B$73</definedName>
    <definedName name="_xlchart.v1.56" hidden="1">'2025-26_Measurement'!$M$34:$M$73</definedName>
    <definedName name="_xlchart.v1.57" hidden="1">'2025-26_Measurement'!$B$34:$B$73</definedName>
    <definedName name="_xlchart.v1.58" hidden="1">'2025-26_Measurement'!$N$34:$N$73</definedName>
    <definedName name="_xlchart.v1.6" hidden="1">'2025-26_Measurement'!$B$74:$B$129</definedName>
    <definedName name="_xlchart.v1.7" hidden="1">'2025-26_Measurement'!$Q$74:$Q$129</definedName>
    <definedName name="_xlchart.v1.8" hidden="1">'2025-26_Measurement'!$B$74:$B$129</definedName>
    <definedName name="_xlchart.v1.9" hidden="1">'2025-26_Measurement'!$O$74:$O$129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2" i="1" l="1"/>
  <c r="K123" i="1"/>
  <c r="K124" i="1"/>
  <c r="K125" i="1"/>
  <c r="K126" i="1"/>
  <c r="K127" i="1"/>
  <c r="K128" i="1"/>
  <c r="K129" i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</calcChain>
</file>

<file path=xl/sharedStrings.xml><?xml version="1.0" encoding="utf-8"?>
<sst xmlns="http://schemas.openxmlformats.org/spreadsheetml/2006/main" count="501" uniqueCount="198">
  <si>
    <t xml:space="preserve">Shivious </t>
  </si>
  <si>
    <t>B</t>
  </si>
  <si>
    <t xml:space="preserve">Strabelina </t>
  </si>
  <si>
    <t>ChlM</t>
  </si>
  <si>
    <t>FlvM</t>
  </si>
  <si>
    <t>AnthM</t>
  </si>
  <si>
    <t>NFI</t>
  </si>
  <si>
    <t>Block</t>
  </si>
  <si>
    <t>Sample No.</t>
  </si>
  <si>
    <t>Variety</t>
  </si>
  <si>
    <t>Row</t>
  </si>
  <si>
    <t>Date</t>
  </si>
  <si>
    <t>Water Content (% of weight)</t>
  </si>
  <si>
    <t>Minerals (% of weight)</t>
  </si>
  <si>
    <t>Vitamin C – Fresh Sample (mg/100 g)</t>
  </si>
  <si>
    <t>Vitamin C – Dry Matter (mg/100 g)</t>
  </si>
  <si>
    <t>Total Phenols – Fresh Sample (mg GAE/100 g)</t>
  </si>
  <si>
    <t>Total Phenols – Dry Matter (mg GAE/100 g)</t>
  </si>
  <si>
    <t>Antioxidant Capacity – Fresh Sample (mmol TAE/100 g)</t>
  </si>
  <si>
    <t>Antioxidant Capacity – Dry Matter (mmol TAE/100 g)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</si>
  <si>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</si>
  <si>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</si>
  <si>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</si>
  <si>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</si>
  <si>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</si>
  <si>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</si>
  <si>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</si>
  <si>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</si>
  <si>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</si>
  <si>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</si>
  <si>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</si>
  <si>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</si>
  <si>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</si>
  <si>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</si>
  <si>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</si>
  <si>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</si>
  <si>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</si>
  <si>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</si>
  <si>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</si>
  <si>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</si>
  <si>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</si>
  <si>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</si>
  <si>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</si>
  <si>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</si>
  <si>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</si>
  <si>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</si>
  <si>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</si>
  <si>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</si>
  <si>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</si>
  <si>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</si>
  <si>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</si>
  <si>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</si>
  <si>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Content of Pigments in leaves</t>
  </si>
  <si>
    <t>Conditions of Nutrients in Fruits</t>
  </si>
  <si>
    <t>Mean value</t>
  </si>
  <si>
    <t>Zeilenbeschriftungen</t>
  </si>
  <si>
    <t>Gesamtergebnis</t>
  </si>
  <si>
    <t>Spaltenbeschriftungen</t>
  </si>
  <si>
    <t>Gesamt: Mittelwert von ChlM</t>
  </si>
  <si>
    <t>Mittelwert von ChlM</t>
  </si>
  <si>
    <t>Gesamt: Mittelwert von FlvM</t>
  </si>
  <si>
    <t>Mittelwert von FlvM</t>
  </si>
  <si>
    <t>Gesamt: Mittelwert von AnthM</t>
  </si>
  <si>
    <t>Mittelwert von AnthM</t>
  </si>
  <si>
    <t>Gesamt: Mittelwert von NFI</t>
  </si>
  <si>
    <t>Mittelwert von NFI</t>
  </si>
  <si>
    <t>Change overtime</t>
  </si>
  <si>
    <t>Water Content and Minerals</t>
  </si>
  <si>
    <t>Gesamt: Mittelwert von Water Content (% of weight)</t>
  </si>
  <si>
    <t>Mittelwert von Water Content (% of weight)</t>
  </si>
  <si>
    <t>Gesamt: Mittelwert von Minerals (% of weight)</t>
  </si>
  <si>
    <t>Mittelwert von Minerals (% of weight)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</si>
  <si>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</si>
  <si>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</si>
  <si>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</si>
  <si>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</si>
  <si>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</si>
  <si>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</si>
  <si>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</si>
  <si>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</si>
  <si>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r>
      <t xml:space="preserve">Size </t>
    </r>
    <r>
      <rPr>
        <sz val="11"/>
        <color theme="1"/>
        <rFont val="Times New Roman"/>
        <family val="1"/>
      </rPr>
      <t>Ø</t>
    </r>
    <r>
      <rPr>
        <sz val="11"/>
        <color theme="1"/>
        <rFont val="Aptos Narrow"/>
        <family val="2"/>
        <scheme val="minor"/>
      </rPr>
      <t xml:space="preserve"> (mm)</t>
    </r>
  </si>
  <si>
    <t>Weight (g)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</si>
  <si>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</si>
  <si>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</si>
  <si>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</si>
  <si>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</si>
  <si>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</si>
  <si>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</si>
  <si>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</si>
  <si>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</si>
  <si>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Gesamt: Mittelwert von Vitamin C – Dry Matter (mg/100 g)</t>
  </si>
  <si>
    <t>Mittelwert von Vitamin C – Dry Matter (mg/100 g)</t>
  </si>
  <si>
    <t>Gesamt: Mittelwert von Total Phenols – Dry Matter (mg GAE/100 g)</t>
  </si>
  <si>
    <t>Mittelwert von Total Phenols – Dry Matter (mg GAE/100 g)</t>
  </si>
  <si>
    <t>Gesamt: Mittelwert von Antioxidant Capacity – Dry Matter (mmol TAE/100 g)</t>
  </si>
  <si>
    <t>Mittelwert von Antioxidant Capacity – Dry Matter (mmol TAE/100 g)</t>
  </si>
  <si>
    <t>Gesamt: Mittelwert von Size Ø (mm)</t>
  </si>
  <si>
    <t>Mittelwert von Size Ø (mm)</t>
  </si>
  <si>
    <t>Gesamt: Mittelwert von Weight (g)</t>
  </si>
  <si>
    <t>Mittelwert von Weight (g)</t>
  </si>
  <si>
    <t>Size and Weight</t>
  </si>
  <si>
    <t>2025-49</t>
  </si>
  <si>
    <t>2025-50</t>
  </si>
  <si>
    <t>2025-51</t>
  </si>
  <si>
    <t>2025-52</t>
  </si>
  <si>
    <t>2025-53</t>
  </si>
  <si>
    <t>2025-54</t>
  </si>
  <si>
    <t>2025-55</t>
  </si>
  <si>
    <t>2025-56</t>
  </si>
  <si>
    <t>2025-57</t>
  </si>
  <si>
    <t>2025-58</t>
  </si>
  <si>
    <t>2025-59</t>
  </si>
  <si>
    <t>2025-60</t>
  </si>
  <si>
    <t>2025-61</t>
  </si>
  <si>
    <t>2025-62</t>
  </si>
  <si>
    <t>2025-63</t>
  </si>
  <si>
    <t>2025-64</t>
  </si>
  <si>
    <t>2025-65</t>
  </si>
  <si>
    <t>2025-66</t>
  </si>
  <si>
    <t>2025-67</t>
  </si>
  <si>
    <t>2025-68</t>
  </si>
  <si>
    <t>2025-69</t>
  </si>
  <si>
    <t>2025-70</t>
  </si>
  <si>
    <t>2025-71</t>
  </si>
  <si>
    <t>2025-72</t>
  </si>
  <si>
    <t>Temperature greenhouse - °C</t>
  </si>
  <si>
    <t>RH greenhouse - %</t>
  </si>
  <si>
    <t>air vent - %</t>
  </si>
  <si>
    <t>2025-73</t>
  </si>
  <si>
    <t>2025-74</t>
  </si>
  <si>
    <t>2025-75</t>
  </si>
  <si>
    <t>2025-76</t>
  </si>
  <si>
    <t>2025-77</t>
  </si>
  <si>
    <t>2025-78</t>
  </si>
  <si>
    <t>2025-79</t>
  </si>
  <si>
    <t>2025-80</t>
  </si>
  <si>
    <t>lht65n-e5</t>
  </si>
  <si>
    <t>lht65s-e5-02</t>
  </si>
  <si>
    <t>Grennhouse</t>
  </si>
  <si>
    <t>Hum. MW (%)</t>
  </si>
  <si>
    <t>Temp. MW (°C)</t>
  </si>
  <si>
    <t>Hum. STABW</t>
  </si>
  <si>
    <t xml:space="preserve">Temp. STABW </t>
  </si>
  <si>
    <t>s1000</t>
  </si>
  <si>
    <t>Air press. MW (Pa)</t>
  </si>
  <si>
    <t>Air press. STABW (Pa)</t>
  </si>
  <si>
    <t>Lux. Summe 14 Tage (lx)</t>
  </si>
  <si>
    <t>Lux. Max (lx)</t>
  </si>
  <si>
    <t>Lux. Min (lx)</t>
  </si>
  <si>
    <t>2025-81</t>
  </si>
  <si>
    <t>2025-82</t>
  </si>
  <si>
    <t>2025-83</t>
  </si>
  <si>
    <t>2025-84</t>
  </si>
  <si>
    <t>2025-85</t>
  </si>
  <si>
    <t>2025-86</t>
  </si>
  <si>
    <t>2025-87</t>
  </si>
  <si>
    <t>2025-88</t>
  </si>
  <si>
    <t>2025-89</t>
  </si>
  <si>
    <t>2025-90</t>
  </si>
  <si>
    <t>2025-91</t>
  </si>
  <si>
    <t>2025-92</t>
  </si>
  <si>
    <t>2025-93</t>
  </si>
  <si>
    <t>2025-94</t>
  </si>
  <si>
    <t>2025-95</t>
  </si>
  <si>
    <t>2025-96</t>
  </si>
  <si>
    <t>2025-97</t>
  </si>
  <si>
    <t>2025-98</t>
  </si>
  <si>
    <t>2025-99</t>
  </si>
  <si>
    <t xml:space="preserve">umgerechnete °Brix </t>
  </si>
  <si>
    <t>2026-100</t>
  </si>
  <si>
    <t>2026-101</t>
  </si>
  <si>
    <t>2026-102</t>
  </si>
  <si>
    <t>2026-103</t>
  </si>
  <si>
    <t>2026-104</t>
  </si>
  <si>
    <t>2026-105</t>
  </si>
  <si>
    <t>2026-106</t>
  </si>
  <si>
    <t>2026-107</t>
  </si>
  <si>
    <t>2026-108</t>
  </si>
  <si>
    <t>2026-109</t>
  </si>
  <si>
    <t>2026-110</t>
  </si>
  <si>
    <t>2026-111</t>
  </si>
  <si>
    <t>2026-112</t>
  </si>
  <si>
    <t>2026-113</t>
  </si>
  <si>
    <t>2026-114</t>
  </si>
  <si>
    <t>2026-115</t>
  </si>
  <si>
    <t>2026-116</t>
  </si>
  <si>
    <t>2026-117</t>
  </si>
  <si>
    <t>2026-118</t>
  </si>
  <si>
    <t>2026-119</t>
  </si>
  <si>
    <t>2026-120</t>
  </si>
  <si>
    <t>2026-121</t>
  </si>
  <si>
    <t>2026-122</t>
  </si>
  <si>
    <t>2026-123</t>
  </si>
  <si>
    <t>2026-124</t>
  </si>
  <si>
    <t>2026-125</t>
  </si>
  <si>
    <t>2026-126</t>
  </si>
  <si>
    <t>2026-127</t>
  </si>
  <si>
    <t>2026-128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</si>
</sst>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yyyy\-mm\-dd;@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0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2" fontId="0" fillId="0" borderId="0" xfId="0" applyNumberFormat="1"/>
    <xf numFmtId="0" fontId="5" fillId="0" borderId="0" xfId="0" applyFont="1"/>
    <xf numFmtId="0" fontId="4" fillId="2" borderId="0" xfId="0" applyFont="1" applyFill="1" applyAlignment="1">
      <alignment horizontal="left"/>
    </xf>
    <xf numFmtId="0" fontId="0" fillId="2" borderId="0" xfId="0" applyFill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0" xfId="0" applyFont="1"/>
    <xf numFmtId="166" fontId="0" fillId="0" borderId="0" xfId="0" applyNumberFormat="1" applyAlignment="1">
      <alignment horizontal="left"/>
    </xf>
    <xf numFmtId="2" fontId="0" fillId="0" borderId="0" xfId="0" applyNumberFormat="1" applyFont="1" applyAlignment="1">
      <alignment horizontal="left"/>
    </xf>
    <xf numFmtId="166" fontId="0" fillId="0" borderId="0" xfId="0" applyNumberFormat="1" applyFont="1" applyAlignment="1">
      <alignment horizontal="left"/>
    </xf>
    <xf numFmtId="43" fontId="0" fillId="0" borderId="0" xfId="0" applyNumberFormat="1"/>
    <xf numFmtId="165" fontId="0" fillId="0" borderId="0" xfId="0" applyNumberFormat="1" applyFont="1" applyFill="1" applyBorder="1" applyAlignment="1">
      <alignment horizontal="left"/>
    </xf>
    <xf numFmtId="165" fontId="0" fillId="0" borderId="2" xfId="0" applyNumberFormat="1" applyFont="1" applyFill="1" applyBorder="1" applyAlignment="1">
      <alignment horizontal="left"/>
    </xf>
    <xf numFmtId="0" fontId="0" fillId="0" borderId="2" xfId="0" applyBorder="1"/>
    <xf numFmtId="0" fontId="7" fillId="3" borderId="3" xfId="0" applyFont="1" applyFill="1" applyBorder="1" applyAlignment="1">
      <alignment horizontal="left"/>
    </xf>
    <xf numFmtId="0" fontId="0" fillId="0" borderId="0" xfId="0" applyFill="1"/>
    <xf numFmtId="0" fontId="0" fillId="0" borderId="0" xfId="0" applyFill="1" applyBorder="1"/>
    <xf numFmtId="2" fontId="0" fillId="0" borderId="2" xfId="0" applyNumberFormat="1" applyBorder="1"/>
    <xf numFmtId="0" fontId="4" fillId="3" borderId="4" xfId="0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1" fontId="0" fillId="4" borderId="2" xfId="0" applyNumberFormat="1" applyFill="1" applyBorder="1"/>
    <xf numFmtId="0" fontId="0" fillId="0" borderId="9" xfId="0" applyBorder="1"/>
    <xf numFmtId="1" fontId="0" fillId="0" borderId="2" xfId="0" applyNumberFormat="1" applyBorder="1"/>
    <xf numFmtId="1" fontId="0" fillId="0" borderId="8" xfId="0" applyNumberFormat="1" applyBorder="1"/>
    <xf numFmtId="2" fontId="0" fillId="0" borderId="0" xfId="1" applyNumberFormat="1" applyFont="1" applyAlignment="1">
      <alignment horizontal="left"/>
    </xf>
    <xf numFmtId="43" fontId="0" fillId="0" borderId="0" xfId="0" applyNumberFormat="1" applyAlignment="1">
      <alignment horizontal="right"/>
    </xf>
    <xf numFmtId="10" fontId="0" fillId="0" borderId="0" xfId="0" applyNumberFormat="1" applyAlignment="1">
      <alignment horizontal="left"/>
    </xf>
    <xf numFmtId="1" fontId="0" fillId="0" borderId="0" xfId="0" applyNumberFormat="1" applyBorder="1"/>
    <xf numFmtId="0" fontId="0" fillId="2" borderId="1" xfId="0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91">
    <dxf>
      <numFmt numFmtId="2" formatCode="0.00"/>
    </dxf>
    <dxf>
      <numFmt numFmtId="2" formatCode="0.00"/>
    </dxf>
    <dxf>
      <alignment horizontal="right"/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68" formatCode="0.00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66" formatCode="0.0"/>
      <alignment horizontal="left" vertical="bottom" textRotation="0" wrapText="0" indent="0" justifyLastLine="0" shrinkToFit="0" readingOrder="0"/>
    </dxf>
    <dxf>
      <numFmt numFmtId="165" formatCode="yyyy\-mm\-dd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ChlM</a:t>
            </a:r>
            <a:r>
              <a:rPr lang="de-DE" baseline="0"/>
              <a:t> Change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467395833333333"/>
          <c:y val="0.18292136419697475"/>
          <c:w val="0.8549213541666667"/>
          <c:h val="0.50424525224533923"/>
        </c:manualLayout>
      </c:layout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1'!$B$4:$B$19</c:f>
              <c:numCache>
                <c:formatCode>0.00</c:formatCode>
                <c:ptCount val="16"/>
                <c:pt idx="0">
                  <c:v>0.60500000000000009</c:v>
                </c:pt>
                <c:pt idx="1">
                  <c:v>0.67666666666666675</c:v>
                </c:pt>
                <c:pt idx="2">
                  <c:v>0.57125000000000004</c:v>
                </c:pt>
                <c:pt idx="3">
                  <c:v>0.55999999999999994</c:v>
                </c:pt>
                <c:pt idx="4">
                  <c:v>0.49333333333333335</c:v>
                </c:pt>
                <c:pt idx="5">
                  <c:v>0.62375000000000003</c:v>
                </c:pt>
                <c:pt idx="6">
                  <c:v>0.67874999999999996</c:v>
                </c:pt>
                <c:pt idx="7">
                  <c:v>0.73750000000000004</c:v>
                </c:pt>
                <c:pt idx="9">
                  <c:v>0.8125</c:v>
                </c:pt>
                <c:pt idx="10">
                  <c:v>0.83583333333333332</c:v>
                </c:pt>
                <c:pt idx="11">
                  <c:v>0.78250000000000008</c:v>
                </c:pt>
                <c:pt idx="12">
                  <c:v>0.59666666666666668</c:v>
                </c:pt>
                <c:pt idx="13">
                  <c:v>0.60666666666666669</c:v>
                </c:pt>
                <c:pt idx="14">
                  <c:v>0.61166666666666669</c:v>
                </c:pt>
                <c:pt idx="15">
                  <c:v>0.57166666666666666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7-4899-8C9C-9FDA245AAE27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1'!$H$4:$H$19</c:f>
              <c:numCache>
                <c:formatCode>0.00</c:formatCode>
                <c:ptCount val="16"/>
                <c:pt idx="0">
                  <c:v>0.68500000000000005</c:v>
                </c:pt>
                <c:pt idx="1">
                  <c:v>0.64250000000000007</c:v>
                </c:pt>
                <c:pt idx="2">
                  <c:v>0.51</c:v>
                </c:pt>
                <c:pt idx="3">
                  <c:v>0.53625</c:v>
                </c:pt>
                <c:pt idx="4">
                  <c:v>0.61583333333333323</c:v>
                </c:pt>
                <c:pt idx="5">
                  <c:v>0.66749999999999998</c:v>
                </c:pt>
                <c:pt idx="6">
                  <c:v>0.78874999999999995</c:v>
                </c:pt>
                <c:pt idx="7">
                  <c:v>0.6825</c:v>
                </c:pt>
                <c:pt idx="9">
                  <c:v>1.1391666666666667</c:v>
                </c:pt>
                <c:pt idx="10">
                  <c:v>0.93083333333333329</c:v>
                </c:pt>
                <c:pt idx="11">
                  <c:v>0.95416666666666661</c:v>
                </c:pt>
                <c:pt idx="12">
                  <c:v>0.81333333333333346</c:v>
                </c:pt>
                <c:pt idx="13">
                  <c:v>0.72083333333333344</c:v>
                </c:pt>
                <c:pt idx="14">
                  <c:v>0.63250000000000006</c:v>
                </c:pt>
                <c:pt idx="15">
                  <c:v>0.59333333333333327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7-4899-8C9C-9FDA245AA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ChlM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09878472222242"/>
          <c:y val="0.83126986321371654"/>
          <c:w val="0.15064774305555556"/>
          <c:h val="0.16645023595090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Flv</a:t>
            </a:r>
            <a:r>
              <a:rPr lang="de-DE" baseline="0"/>
              <a:t> Change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4728125"/>
          <c:y val="0.182128802413315"/>
          <c:w val="0.82943315972222209"/>
          <c:h val="0.50639325867894047"/>
        </c:manualLayout>
      </c:layout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1'!$C$4:$C$19</c:f>
              <c:numCache>
                <c:formatCode>0.00</c:formatCode>
                <c:ptCount val="16"/>
                <c:pt idx="0">
                  <c:v>8.666666666666667E-2</c:v>
                </c:pt>
                <c:pt idx="1">
                  <c:v>8.5833333333333331E-2</c:v>
                </c:pt>
                <c:pt idx="2">
                  <c:v>9.8750000000000004E-2</c:v>
                </c:pt>
                <c:pt idx="3">
                  <c:v>8.8750000000000009E-2</c:v>
                </c:pt>
                <c:pt idx="4">
                  <c:v>0.12250000000000001</c:v>
                </c:pt>
                <c:pt idx="5">
                  <c:v>0.09</c:v>
                </c:pt>
                <c:pt idx="6">
                  <c:v>6.5000000000000002E-2</c:v>
                </c:pt>
                <c:pt idx="7">
                  <c:v>9.1250000000000012E-2</c:v>
                </c:pt>
                <c:pt idx="9">
                  <c:v>6.8333333333333329E-2</c:v>
                </c:pt>
                <c:pt idx="10">
                  <c:v>9.166666666666666E-2</c:v>
                </c:pt>
                <c:pt idx="11">
                  <c:v>0.14499999999999999</c:v>
                </c:pt>
                <c:pt idx="12">
                  <c:v>0.11500000000000002</c:v>
                </c:pt>
                <c:pt idx="13">
                  <c:v>7.6666666666666661E-2</c:v>
                </c:pt>
                <c:pt idx="14">
                  <c:v>9.0833333333333335E-2</c:v>
                </c:pt>
                <c:pt idx="15">
                  <c:v>0.155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D-499A-AD79-F3AEF325F482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1'!$I$4:$I$19</c:f>
              <c:numCache>
                <c:formatCode>0.00</c:formatCode>
                <c:ptCount val="16"/>
                <c:pt idx="0">
                  <c:v>9.3333333333333324E-2</c:v>
                </c:pt>
                <c:pt idx="1">
                  <c:v>9.5833333333333326E-2</c:v>
                </c:pt>
                <c:pt idx="2">
                  <c:v>0.12</c:v>
                </c:pt>
                <c:pt idx="3">
                  <c:v>0.14874999999999999</c:v>
                </c:pt>
                <c:pt idx="4" formatCode="General">
                  <c:v>0.12</c:v>
                </c:pt>
                <c:pt idx="5">
                  <c:v>0.12</c:v>
                </c:pt>
                <c:pt idx="6">
                  <c:v>9.5000000000000001E-2</c:v>
                </c:pt>
                <c:pt idx="7">
                  <c:v>7.6250000000000012E-2</c:v>
                </c:pt>
                <c:pt idx="9">
                  <c:v>0.13333333333333333</c:v>
                </c:pt>
                <c:pt idx="10">
                  <c:v>0.12833333333333335</c:v>
                </c:pt>
                <c:pt idx="11">
                  <c:v>8.5000000000000006E-2</c:v>
                </c:pt>
                <c:pt idx="12">
                  <c:v>8.3333333333333343E-2</c:v>
                </c:pt>
                <c:pt idx="13">
                  <c:v>9.166666666666666E-2</c:v>
                </c:pt>
                <c:pt idx="14">
                  <c:v>8.8333333333333333E-2</c:v>
                </c:pt>
                <c:pt idx="15">
                  <c:v>9.3333333333333324E-2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D-499A-AD79-F3AEF325F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ChlM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09878472222242"/>
          <c:y val="0.80528225840751211"/>
          <c:w val="0.15064774305555556"/>
          <c:h val="0.16572904028042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NFI</a:t>
            </a:r>
            <a:r>
              <a:rPr lang="de-DE" baseline="0"/>
              <a:t> Change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469980793954"/>
          <c:y val="0.182128802413315"/>
          <c:w val="0.80848136909440105"/>
          <c:h val="0.5211246258194081"/>
        </c:manualLayout>
      </c:layout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1'!$E$4:$E$19</c:f>
              <c:numCache>
                <c:formatCode>0.00</c:formatCode>
                <c:ptCount val="16"/>
                <c:pt idx="0">
                  <c:v>7.84</c:v>
                </c:pt>
                <c:pt idx="1">
                  <c:v>8.5474999999999994</c:v>
                </c:pt>
                <c:pt idx="2">
                  <c:v>5.8825000000000003</c:v>
                </c:pt>
                <c:pt idx="3">
                  <c:v>7.1849999999999996</c:v>
                </c:pt>
                <c:pt idx="4">
                  <c:v>4.2925000000000004</c:v>
                </c:pt>
                <c:pt idx="5">
                  <c:v>7.2137500000000001</c:v>
                </c:pt>
                <c:pt idx="6">
                  <c:v>11.2425</c:v>
                </c:pt>
                <c:pt idx="7">
                  <c:v>8.8500000000000014</c:v>
                </c:pt>
                <c:pt idx="9">
                  <c:v>12.328333333333333</c:v>
                </c:pt>
                <c:pt idx="10">
                  <c:v>9.6758333333333351</c:v>
                </c:pt>
                <c:pt idx="11">
                  <c:v>6.0808333333333335</c:v>
                </c:pt>
                <c:pt idx="12">
                  <c:v>6.1149999999999993</c:v>
                </c:pt>
                <c:pt idx="13">
                  <c:v>9.3125</c:v>
                </c:pt>
                <c:pt idx="14">
                  <c:v>7.3433333333333337</c:v>
                </c:pt>
                <c:pt idx="15">
                  <c:v>4.4683333333333337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9-402B-983F-46A4797BFCF5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1'!$K$4:$K$19</c:f>
              <c:numCache>
                <c:formatCode>0.00</c:formatCode>
                <c:ptCount val="16"/>
                <c:pt idx="0">
                  <c:v>8.5458333333333343</c:v>
                </c:pt>
                <c:pt idx="1">
                  <c:v>7.610833333333332</c:v>
                </c:pt>
                <c:pt idx="2">
                  <c:v>4.6725000000000003</c:v>
                </c:pt>
                <c:pt idx="3">
                  <c:v>4.0449999999999999</c:v>
                </c:pt>
                <c:pt idx="4">
                  <c:v>5.3433333333333337</c:v>
                </c:pt>
                <c:pt idx="5">
                  <c:v>6.09</c:v>
                </c:pt>
                <c:pt idx="6">
                  <c:v>8.7537500000000001</c:v>
                </c:pt>
                <c:pt idx="7">
                  <c:v>10.42375</c:v>
                </c:pt>
                <c:pt idx="9">
                  <c:v>9.8783333333333339</c:v>
                </c:pt>
                <c:pt idx="10">
                  <c:v>7.8008333333333333</c:v>
                </c:pt>
                <c:pt idx="11">
                  <c:v>12.146666666666668</c:v>
                </c:pt>
                <c:pt idx="12">
                  <c:v>10.584166666666668</c:v>
                </c:pt>
                <c:pt idx="13">
                  <c:v>8.9049999999999994</c:v>
                </c:pt>
                <c:pt idx="14">
                  <c:v>7.3608333333333329</c:v>
                </c:pt>
                <c:pt idx="15">
                  <c:v>7.2925000000000004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9-402B-983F-46A4797BF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ChlM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40078350951883"/>
          <c:y val="0.82983453697495824"/>
          <c:w val="0.15054816171941823"/>
          <c:h val="0.16572904028042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Water Content</a:t>
            </a:r>
            <a:r>
              <a:rPr lang="de-DE" baseline="0"/>
              <a:t> Chang</a:t>
            </a:r>
            <a:r>
              <a:rPr lang="de-DE" altLang="zh-CN" baseline="0"/>
              <a:t>e</a:t>
            </a:r>
            <a:r>
              <a:rPr lang="de-DE" baseline="0"/>
              <a:t>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706195745163945"/>
          <c:y val="0.17933926177601239"/>
          <c:w val="0.76044681049477569"/>
          <c:h val="0.51194667371267299"/>
        </c:manualLayout>
      </c:layout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1'!$F$4:$F$19</c:f>
              <c:numCache>
                <c:formatCode>0.00%</c:formatCode>
                <c:ptCount val="16"/>
                <c:pt idx="0">
                  <c:v>0.94064999999999999</c:v>
                </c:pt>
                <c:pt idx="1">
                  <c:v>0.91940000000000011</c:v>
                </c:pt>
                <c:pt idx="2">
                  <c:v>0.91449999999999998</c:v>
                </c:pt>
                <c:pt idx="3">
                  <c:v>0.93465000000000009</c:v>
                </c:pt>
                <c:pt idx="4">
                  <c:v>0.92912499999999998</c:v>
                </c:pt>
                <c:pt idx="5">
                  <c:v>0.93022500000000008</c:v>
                </c:pt>
                <c:pt idx="6">
                  <c:v>0.93272500000000003</c:v>
                </c:pt>
                <c:pt idx="7">
                  <c:v>0.92325000000000002</c:v>
                </c:pt>
                <c:pt idx="8">
                  <c:v>0.91660000000000008</c:v>
                </c:pt>
                <c:pt idx="9">
                  <c:v>0.92010000000000003</c:v>
                </c:pt>
                <c:pt idx="10">
                  <c:v>0.91355000000000008</c:v>
                </c:pt>
                <c:pt idx="11">
                  <c:v>0.91812499999999997</c:v>
                </c:pt>
                <c:pt idx="12">
                  <c:v>0.90649999999999997</c:v>
                </c:pt>
                <c:pt idx="13">
                  <c:v>0.89607500000000007</c:v>
                </c:pt>
                <c:pt idx="14">
                  <c:v>0.90474999999999994</c:v>
                </c:pt>
                <c:pt idx="15">
                  <c:v>0.91415000000000002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3-44B6-A4D9-DD23AFE95D7F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1'!$L$4:$L$19</c:f>
              <c:numCache>
                <c:formatCode>0.00%</c:formatCode>
                <c:ptCount val="16"/>
                <c:pt idx="0">
                  <c:v>0.95574999999999999</c:v>
                </c:pt>
                <c:pt idx="1">
                  <c:v>0.95642499999999997</c:v>
                </c:pt>
                <c:pt idx="2">
                  <c:v>0.95237499999999997</c:v>
                </c:pt>
                <c:pt idx="3">
                  <c:v>0.94789999999999996</c:v>
                </c:pt>
                <c:pt idx="4">
                  <c:v>0.94887499999999991</c:v>
                </c:pt>
                <c:pt idx="5">
                  <c:v>0.95287499999999992</c:v>
                </c:pt>
                <c:pt idx="6">
                  <c:v>0.95469999999999999</c:v>
                </c:pt>
                <c:pt idx="7">
                  <c:v>0.95467499999999994</c:v>
                </c:pt>
                <c:pt idx="8">
                  <c:v>0.94757500000000006</c:v>
                </c:pt>
                <c:pt idx="9">
                  <c:v>0.946025</c:v>
                </c:pt>
                <c:pt idx="10">
                  <c:v>0.95424999999999993</c:v>
                </c:pt>
                <c:pt idx="11">
                  <c:v>0.94627499999999998</c:v>
                </c:pt>
                <c:pt idx="12">
                  <c:v>0.93922499999999998</c:v>
                </c:pt>
                <c:pt idx="13">
                  <c:v>0.94152500000000006</c:v>
                </c:pt>
                <c:pt idx="14">
                  <c:v>0.94362500000000005</c:v>
                </c:pt>
                <c:pt idx="15">
                  <c:v>0.94097500000000001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3-44B6-A4D9-DD23AFE95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Water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Minerals </a:t>
            </a:r>
            <a:r>
              <a:rPr lang="de-DE" baseline="0"/>
              <a:t>Change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1'!$G$4:$G$19</c:f>
              <c:numCache>
                <c:formatCode>0.00%</c:formatCode>
                <c:ptCount val="16"/>
                <c:pt idx="0">
                  <c:v>4.3071900750114812E-3</c:v>
                </c:pt>
                <c:pt idx="1">
                  <c:v>5.2650935097048939E-3</c:v>
                </c:pt>
                <c:pt idx="2">
                  <c:v>4.8986909969212121E-3</c:v>
                </c:pt>
                <c:pt idx="3">
                  <c:v>5.030383519629365E-3</c:v>
                </c:pt>
                <c:pt idx="4">
                  <c:v>5.4316241910819137E-3</c:v>
                </c:pt>
                <c:pt idx="5">
                  <c:v>4.3268417428155032E-3</c:v>
                </c:pt>
                <c:pt idx="6">
                  <c:v>5.2199564946630419E-3</c:v>
                </c:pt>
                <c:pt idx="7">
                  <c:v>4.6404158140311621E-3</c:v>
                </c:pt>
                <c:pt idx="8">
                  <c:v>5.1065694812174947E-3</c:v>
                </c:pt>
                <c:pt idx="9">
                  <c:v>5.6791053614014412E-3</c:v>
                </c:pt>
                <c:pt idx="10">
                  <c:v>7.2819232142274084E-3</c:v>
                </c:pt>
                <c:pt idx="11">
                  <c:v>6.2000676991963198E-3</c:v>
                </c:pt>
                <c:pt idx="12">
                  <c:v>5.8167777333859721E-3</c:v>
                </c:pt>
                <c:pt idx="13">
                  <c:v>7.4146573439557283E-3</c:v>
                </c:pt>
                <c:pt idx="14">
                  <c:v>5.1172919014767426E-3</c:v>
                </c:pt>
                <c:pt idx="15">
                  <c:v>5.5252193437236004E-3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B-43D0-89B8-856FB3477B5F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1'!$A$4:$A$19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1'!$M$4:$M$19</c:f>
              <c:numCache>
                <c:formatCode>0.00%</c:formatCode>
                <c:ptCount val="16"/>
                <c:pt idx="0">
                  <c:v>3.997974774748855E-3</c:v>
                </c:pt>
                <c:pt idx="1">
                  <c:v>3.8529113229666236E-3</c:v>
                </c:pt>
                <c:pt idx="2">
                  <c:v>3.7025074218619619E-3</c:v>
                </c:pt>
                <c:pt idx="3">
                  <c:v>3.7055595438362588E-3</c:v>
                </c:pt>
                <c:pt idx="4">
                  <c:v>3.7662668661452448E-3</c:v>
                </c:pt>
                <c:pt idx="5">
                  <c:v>3.4262570386669423E-3</c:v>
                </c:pt>
                <c:pt idx="6">
                  <c:v>3.6541443939724456E-3</c:v>
                </c:pt>
                <c:pt idx="7">
                  <c:v>3.6530697816420008E-3</c:v>
                </c:pt>
                <c:pt idx="8">
                  <c:v>4.9203381790229577E-3</c:v>
                </c:pt>
                <c:pt idx="9">
                  <c:v>3.3770606389034634E-3</c:v>
                </c:pt>
                <c:pt idx="10">
                  <c:v>4.7623472265222724E-3</c:v>
                </c:pt>
                <c:pt idx="11">
                  <c:v>4.5595896916520127E-3</c:v>
                </c:pt>
                <c:pt idx="12">
                  <c:v>3.1305928156532981E-3</c:v>
                </c:pt>
                <c:pt idx="13">
                  <c:v>3.8255529207702563E-3</c:v>
                </c:pt>
                <c:pt idx="14">
                  <c:v>2.9310602713136001E-3</c:v>
                </c:pt>
                <c:pt idx="15">
                  <c:v>4.1658537645823165E-3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B-43D0-89B8-856FB3477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Minerals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 Phenols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2'!$B$4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2'!$A$6:$A$21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2'!$C$6:$C$21</c:f>
              <c:numCache>
                <c:formatCode>0.00</c:formatCode>
                <c:ptCount val="16"/>
                <c:pt idx="0">
                  <c:v>1711.6616775873852</c:v>
                </c:pt>
                <c:pt idx="1">
                  <c:v>1414.7801634940672</c:v>
                </c:pt>
                <c:pt idx="2">
                  <c:v>1947.279585036694</c:v>
                </c:pt>
                <c:pt idx="3">
                  <c:v>1240.8499102433473</c:v>
                </c:pt>
                <c:pt idx="4">
                  <c:v>1327.3748778427557</c:v>
                </c:pt>
                <c:pt idx="5">
                  <c:v>1183.1903494251383</c:v>
                </c:pt>
                <c:pt idx="6">
                  <c:v>1125.3072693530319</c:v>
                </c:pt>
                <c:pt idx="7">
                  <c:v>813.74935008783132</c:v>
                </c:pt>
                <c:pt idx="8">
                  <c:v>686.2009236462311</c:v>
                </c:pt>
                <c:pt idx="9">
                  <c:v>1093.2538068104504</c:v>
                </c:pt>
                <c:pt idx="10">
                  <c:v>1471.3163823308932</c:v>
                </c:pt>
                <c:pt idx="11">
                  <c:v>1109.1647953821021</c:v>
                </c:pt>
                <c:pt idx="12">
                  <c:v>864.08555801351793</c:v>
                </c:pt>
                <c:pt idx="13">
                  <c:v>548.02995556994051</c:v>
                </c:pt>
                <c:pt idx="14">
                  <c:v>540.09812405582511</c:v>
                </c:pt>
                <c:pt idx="15">
                  <c:v>569.82254391328343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9-4639-A92D-0E53C1ADAA12}"/>
            </c:ext>
          </c:extLst>
        </c:ser>
        <c:ser>
          <c:idx val="1"/>
          <c:order val="1"/>
          <c:tx>
            <c:strRef>
              <c:f>'PivotTable 2'!$E$4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2'!$A$6:$A$21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2'!$F$6:$F$21</c:f>
              <c:numCache>
                <c:formatCode>0.00</c:formatCode>
                <c:ptCount val="16"/>
                <c:pt idx="0">
                  <c:v>2272.407871768658</c:v>
                </c:pt>
                <c:pt idx="1">
                  <c:v>2429.5058619988131</c:v>
                </c:pt>
                <c:pt idx="2">
                  <c:v>2292.3381996838707</c:v>
                </c:pt>
                <c:pt idx="3">
                  <c:v>1611.5196781286668</c:v>
                </c:pt>
                <c:pt idx="4">
                  <c:v>1508.1475920394037</c:v>
                </c:pt>
                <c:pt idx="5">
                  <c:v>1548.7099284030867</c:v>
                </c:pt>
                <c:pt idx="6">
                  <c:v>1508.462397739394</c:v>
                </c:pt>
                <c:pt idx="7">
                  <c:v>1540.0721596091935</c:v>
                </c:pt>
                <c:pt idx="8">
                  <c:v>1298.920928101553</c:v>
                </c:pt>
                <c:pt idx="9">
                  <c:v>1403.1853020962567</c:v>
                </c:pt>
                <c:pt idx="10">
                  <c:v>1093.7266195081081</c:v>
                </c:pt>
                <c:pt idx="11">
                  <c:v>1222.6532310781549</c:v>
                </c:pt>
                <c:pt idx="12">
                  <c:v>1086.2369198602005</c:v>
                </c:pt>
                <c:pt idx="13">
                  <c:v>651.27318330459298</c:v>
                </c:pt>
                <c:pt idx="14">
                  <c:v>714.07328587031066</c:v>
                </c:pt>
                <c:pt idx="15">
                  <c:v>577.31871743535487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9-4639-A92D-0E53C1ADA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 GAE/100 g </a:t>
                </a:r>
                <a:r>
                  <a:rPr lang="de-DE" sz="10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10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:rich>
          </c:tx>
          <c:layout>
            <c:manualLayout>
              <c:xMode val="edge"/>
              <c:yMode val="edge"/>
              <c:x val="1.6636085306439639E-2"/>
              <c:y val="0.26430555555555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Display" panose="02110004020202020204"/>
              </a:rPr>
              <a:t>Antioxidant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2'!$B$4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2'!$A$6:$A$21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2'!$D$6:$D$21</c:f>
              <c:numCache>
                <c:formatCode>0.00</c:formatCode>
                <c:ptCount val="16"/>
                <c:pt idx="0">
                  <c:v>14.480523399447398</c:v>
                </c:pt>
                <c:pt idx="1">
                  <c:v>8.6993860090014241</c:v>
                </c:pt>
                <c:pt idx="2">
                  <c:v>13.556992286637637</c:v>
                </c:pt>
                <c:pt idx="3">
                  <c:v>8.3920264423925399</c:v>
                </c:pt>
                <c:pt idx="4">
                  <c:v>7.7626948158916962</c:v>
                </c:pt>
                <c:pt idx="5">
                  <c:v>6.8779857117812133</c:v>
                </c:pt>
                <c:pt idx="6">
                  <c:v>6.161822405813826</c:v>
                </c:pt>
                <c:pt idx="7">
                  <c:v>5.9079192274173407</c:v>
                </c:pt>
                <c:pt idx="8">
                  <c:v>7.0221746683847739</c:v>
                </c:pt>
                <c:pt idx="9">
                  <c:v>6.3850195118973296</c:v>
                </c:pt>
                <c:pt idx="10">
                  <c:v>8.3354243458292334</c:v>
                </c:pt>
                <c:pt idx="11">
                  <c:v>6.0166287130192782</c:v>
                </c:pt>
                <c:pt idx="12">
                  <c:v>5.2057418821513828</c:v>
                </c:pt>
                <c:pt idx="13">
                  <c:v>3.5792483828716017</c:v>
                </c:pt>
                <c:pt idx="14">
                  <c:v>4.0685569920529669</c:v>
                </c:pt>
                <c:pt idx="15">
                  <c:v>4.1214538819621911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D-4806-9D8B-1147207548B7}"/>
            </c:ext>
          </c:extLst>
        </c:ser>
        <c:ser>
          <c:idx val="1"/>
          <c:order val="1"/>
          <c:tx>
            <c:strRef>
              <c:f>'PivotTable 2'!$E$4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2'!$A$6:$A$21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2'!$G$6:$G$21</c:f>
              <c:numCache>
                <c:formatCode>0.00</c:formatCode>
                <c:ptCount val="16"/>
                <c:pt idx="0">
                  <c:v>21.55959931082992</c:v>
                </c:pt>
                <c:pt idx="1">
                  <c:v>19.480534306046042</c:v>
                </c:pt>
                <c:pt idx="2">
                  <c:v>17.840101511289799</c:v>
                </c:pt>
                <c:pt idx="3">
                  <c:v>11.178684328392272</c:v>
                </c:pt>
                <c:pt idx="4">
                  <c:v>8.8948313701828106</c:v>
                </c:pt>
                <c:pt idx="5">
                  <c:v>8.5689450272958254</c:v>
                </c:pt>
                <c:pt idx="6">
                  <c:v>7.1273252223981505</c:v>
                </c:pt>
                <c:pt idx="7">
                  <c:v>8.8281685444975349</c:v>
                </c:pt>
                <c:pt idx="8">
                  <c:v>8.467342904764422</c:v>
                </c:pt>
                <c:pt idx="9">
                  <c:v>8.5831940568047944</c:v>
                </c:pt>
                <c:pt idx="10">
                  <c:v>7.4761277381007476</c:v>
                </c:pt>
                <c:pt idx="11">
                  <c:v>6.3828369497239867</c:v>
                </c:pt>
                <c:pt idx="12">
                  <c:v>5.6280782575594674</c:v>
                </c:pt>
                <c:pt idx="13">
                  <c:v>5.15059204449501</c:v>
                </c:pt>
                <c:pt idx="14">
                  <c:v>5.5322705782655319</c:v>
                </c:pt>
                <c:pt idx="15">
                  <c:v>4.330414938446383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D-4806-9D8B-114720754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mmol TAE/100 g </a:t>
                </a:r>
                <a:r>
                  <a:rPr lang="de-DE" sz="10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10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:rich>
          </c:tx>
          <c:layout>
            <c:manualLayout>
              <c:xMode val="edge"/>
              <c:yMode val="edge"/>
              <c:x val="1.6636085306439639E-2"/>
              <c:y val="0.24115740740740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Display" panose="02110004020202020204"/>
              </a:rPr>
              <a:t>Vitamin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522305865499516"/>
          <c:y val="0.18212887283345391"/>
          <c:w val="0.82303611523556308"/>
          <c:h val="0.50435503459166064"/>
        </c:manualLayout>
      </c:layout>
      <c:lineChart>
        <c:grouping val="standard"/>
        <c:varyColors val="0"/>
        <c:ser>
          <c:idx val="0"/>
          <c:order val="0"/>
          <c:tx>
            <c:strRef>
              <c:f>'PivotTable 2'!$B$4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2'!$A$6:$A$21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2'!$B$6:$B$21</c:f>
              <c:numCache>
                <c:formatCode>0.00</c:formatCode>
                <c:ptCount val="16"/>
                <c:pt idx="0">
                  <c:v>1137.990525179398</c:v>
                </c:pt>
                <c:pt idx="1">
                  <c:v>1078.9316103381316</c:v>
                </c:pt>
                <c:pt idx="2">
                  <c:v>727.09969570387022</c:v>
                </c:pt>
                <c:pt idx="3">
                  <c:v>762.9121034113416</c:v>
                </c:pt>
                <c:pt idx="4">
                  <c:v>768.17652491789727</c:v>
                </c:pt>
                <c:pt idx="5">
                  <c:v>647.50428320023377</c:v>
                </c:pt>
                <c:pt idx="6">
                  <c:v>646.85114554845313</c:v>
                </c:pt>
                <c:pt idx="7">
                  <c:v>535.84157705758048</c:v>
                </c:pt>
                <c:pt idx="8">
                  <c:v>443.48106502019073</c:v>
                </c:pt>
                <c:pt idx="9">
                  <c:v>428.39171432750084</c:v>
                </c:pt>
                <c:pt idx="10">
                  <c:v>1248.607343401661</c:v>
                </c:pt>
                <c:pt idx="11">
                  <c:v>559.11454767899295</c:v>
                </c:pt>
                <c:pt idx="12">
                  <c:v>844.56040449202783</c:v>
                </c:pt>
                <c:pt idx="13">
                  <c:v>401.07212080916958</c:v>
                </c:pt>
                <c:pt idx="14">
                  <c:v>330.98085628262345</c:v>
                </c:pt>
                <c:pt idx="15">
                  <c:v>758.50407659904795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6-41E3-BDEA-880F3F0FE747}"/>
            </c:ext>
          </c:extLst>
        </c:ser>
        <c:ser>
          <c:idx val="1"/>
          <c:order val="1"/>
          <c:tx>
            <c:strRef>
              <c:f>'PivotTable 2'!$E$4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2'!$A$6:$A$21</c:f>
              <c:numCache>
                <c:formatCode>m/d/yyyy</c:formatCode>
                <c:ptCount val="16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  <c:pt idx="9">
                  <c:v>46072</c:v>
                </c:pt>
                <c:pt idx="10">
                  <c:v>46086</c:v>
                </c:pt>
                <c:pt idx="11">
                  <c:v>46100</c:v>
                </c:pt>
                <c:pt idx="12">
                  <c:v>46114</c:v>
                </c:pt>
                <c:pt idx="13">
                  <c:v>46128</c:v>
                </c:pt>
                <c:pt idx="14">
                  <c:v>46141</c:v>
                </c:pt>
                <c:pt idx="15">
                  <c:v>46168</c:v>
                </c:pt>
              </c:numCache>
            </c:numRef>
          </c:cat>
          <c:val>
            <c:numRef>
              <c:f>'PivotTable 2'!$E$6:$E$21</c:f>
              <c:numCache>
                <c:formatCode>0.00</c:formatCode>
                <c:ptCount val="16"/>
                <c:pt idx="0">
                  <c:v>1474.2218124536771</c:v>
                </c:pt>
                <c:pt idx="1">
                  <c:v>1501.9534910588441</c:v>
                </c:pt>
                <c:pt idx="2">
                  <c:v>1164.5887181605228</c:v>
                </c:pt>
                <c:pt idx="3">
                  <c:v>1022.4953778001608</c:v>
                </c:pt>
                <c:pt idx="4">
                  <c:v>915.2151153026449</c:v>
                </c:pt>
                <c:pt idx="5">
                  <c:v>626.03889393893996</c:v>
                </c:pt>
                <c:pt idx="6">
                  <c:v>508.65416446084879</c:v>
                </c:pt>
                <c:pt idx="7">
                  <c:v>662.41594439532923</c:v>
                </c:pt>
                <c:pt idx="8">
                  <c:v>481.69451718037465</c:v>
                </c:pt>
                <c:pt idx="9">
                  <c:v>770.37770720302194</c:v>
                </c:pt>
                <c:pt idx="10">
                  <c:v>1080.0912526077791</c:v>
                </c:pt>
                <c:pt idx="11">
                  <c:v>865.51760485057889</c:v>
                </c:pt>
                <c:pt idx="12">
                  <c:v>1757.1631477713734</c:v>
                </c:pt>
                <c:pt idx="13">
                  <c:v>501.53085521298698</c:v>
                </c:pt>
                <c:pt idx="14">
                  <c:v>476.50118385969643</c:v>
                </c:pt>
                <c:pt idx="15">
                  <c:v>616.27018365272033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6-41E3-BDEA-880F3F0FE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mg/100 g </a:t>
                </a: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10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:rich>
          </c:tx>
          <c:layout>
            <c:manualLayout>
              <c:xMode val="edge"/>
              <c:yMode val="edge"/>
              <c:x val="1.6636085306439639E-2"/>
              <c:y val="0.26430555555555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664130329186293"/>
          <c:y val="0.8101930273821808"/>
          <c:w val="0.13910702794834001"/>
          <c:h val="0.165729104359597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Display" panose="02110004020202020204"/>
              </a:rPr>
              <a:t>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3'!$B$2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3'!$A$8:$A$19</c:f>
              <c:numCache>
                <c:formatCode>m/d/yyyy</c:formatCode>
                <c:ptCount val="12"/>
                <c:pt idx="0">
                  <c:v>45932</c:v>
                </c:pt>
                <c:pt idx="1">
                  <c:v>45946</c:v>
                </c:pt>
                <c:pt idx="2">
                  <c:v>45960</c:v>
                </c:pt>
                <c:pt idx="3">
                  <c:v>45974</c:v>
                </c:pt>
                <c:pt idx="4">
                  <c:v>45988</c:v>
                </c:pt>
                <c:pt idx="5">
                  <c:v>46072</c:v>
                </c:pt>
                <c:pt idx="6">
                  <c:v>46086</c:v>
                </c:pt>
                <c:pt idx="7">
                  <c:v>46100</c:v>
                </c:pt>
                <c:pt idx="8">
                  <c:v>46114</c:v>
                </c:pt>
                <c:pt idx="9">
                  <c:v>46128</c:v>
                </c:pt>
                <c:pt idx="10">
                  <c:v>46141</c:v>
                </c:pt>
                <c:pt idx="11">
                  <c:v>46168</c:v>
                </c:pt>
              </c:numCache>
            </c:numRef>
          </c:cat>
          <c:val>
            <c:numRef>
              <c:f>'PivotTable 3'!$B$8:$B$19</c:f>
              <c:numCache>
                <c:formatCode>0.00</c:formatCode>
                <c:ptCount val="12"/>
                <c:pt idx="0">
                  <c:v>30.931249999999999</c:v>
                </c:pt>
                <c:pt idx="1">
                  <c:v>32.162500000000001</c:v>
                </c:pt>
                <c:pt idx="2">
                  <c:v>33.625</c:v>
                </c:pt>
                <c:pt idx="3">
                  <c:v>30.674999999999997</c:v>
                </c:pt>
                <c:pt idx="4">
                  <c:v>30.365624999999998</c:v>
                </c:pt>
                <c:pt idx="5" formatCode="_(* #,##0.00_);_(* \(#,##0.00\);_(* &quot;-&quot;??_);_(@_)">
                  <c:v>31.0625</c:v>
                </c:pt>
                <c:pt idx="6">
                  <c:v>31.956250000000001</c:v>
                </c:pt>
                <c:pt idx="7">
                  <c:v>30.968750000000004</c:v>
                </c:pt>
                <c:pt idx="8">
                  <c:v>31.606249999999999</c:v>
                </c:pt>
                <c:pt idx="9">
                  <c:v>30.9375</c:v>
                </c:pt>
                <c:pt idx="10">
                  <c:v>31.587499999999999</c:v>
                </c:pt>
                <c:pt idx="11">
                  <c:v>31.543749999999999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D-440A-8691-CB7464E32A69}"/>
            </c:ext>
          </c:extLst>
        </c:ser>
        <c:ser>
          <c:idx val="1"/>
          <c:order val="1"/>
          <c:tx>
            <c:strRef>
              <c:f>'PivotTable 3'!$D$2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3'!$A$8:$A$19</c:f>
              <c:numCache>
                <c:formatCode>m/d/yyyy</c:formatCode>
                <c:ptCount val="12"/>
                <c:pt idx="0">
                  <c:v>45932</c:v>
                </c:pt>
                <c:pt idx="1">
                  <c:v>45946</c:v>
                </c:pt>
                <c:pt idx="2">
                  <c:v>45960</c:v>
                </c:pt>
                <c:pt idx="3">
                  <c:v>45974</c:v>
                </c:pt>
                <c:pt idx="4">
                  <c:v>45988</c:v>
                </c:pt>
                <c:pt idx="5">
                  <c:v>46072</c:v>
                </c:pt>
                <c:pt idx="6">
                  <c:v>46086</c:v>
                </c:pt>
                <c:pt idx="7">
                  <c:v>46100</c:v>
                </c:pt>
                <c:pt idx="8">
                  <c:v>46114</c:v>
                </c:pt>
                <c:pt idx="9">
                  <c:v>46128</c:v>
                </c:pt>
                <c:pt idx="10">
                  <c:v>46141</c:v>
                </c:pt>
                <c:pt idx="11">
                  <c:v>46168</c:v>
                </c:pt>
              </c:numCache>
            </c:numRef>
          </c:cat>
          <c:val>
            <c:numRef>
              <c:f>'PivotTable 3'!$D$8:$D$19</c:f>
              <c:numCache>
                <c:formatCode>0.00</c:formatCode>
                <c:ptCount val="12"/>
                <c:pt idx="0">
                  <c:v>43.71875</c:v>
                </c:pt>
                <c:pt idx="1">
                  <c:v>41.40625</c:v>
                </c:pt>
                <c:pt idx="2">
                  <c:v>42.3</c:v>
                </c:pt>
                <c:pt idx="3">
                  <c:v>40.387500000000003</c:v>
                </c:pt>
                <c:pt idx="4">
                  <c:v>43.2</c:v>
                </c:pt>
                <c:pt idx="5" formatCode="_(* #,##0.00_);_(* \(#,##0.00\);_(* &quot;-&quot;??_);_(@_)">
                  <c:v>42.59375</c:v>
                </c:pt>
                <c:pt idx="6">
                  <c:v>44.181250000000006</c:v>
                </c:pt>
                <c:pt idx="7">
                  <c:v>43.212499999999999</c:v>
                </c:pt>
                <c:pt idx="8">
                  <c:v>40.71875</c:v>
                </c:pt>
                <c:pt idx="9">
                  <c:v>42.512500000000003</c:v>
                </c:pt>
                <c:pt idx="10">
                  <c:v>40.856250000000003</c:v>
                </c:pt>
                <c:pt idx="11">
                  <c:v>42.443750000000001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D-440A-8691-CB7464E32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Ø (mm)</a:t>
                </a:r>
              </a:p>
            </c:rich>
          </c:tx>
          <c:layout>
            <c:manualLayout>
              <c:xMode val="edge"/>
              <c:yMode val="edge"/>
              <c:x val="1.6636195525343338E-2"/>
              <c:y val="0.38706686494081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chemeClr val="bg2">
                    <a:lumMod val="25000"/>
                  </a:schemeClr>
                </a:solidFill>
                <a:effectLst/>
              </a:rPr>
              <a:t>Weight</a:t>
            </a:r>
            <a:endPara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3'!$B$2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3'!$A$8:$A$19</c:f>
              <c:numCache>
                <c:formatCode>m/d/yyyy</c:formatCode>
                <c:ptCount val="12"/>
                <c:pt idx="0">
                  <c:v>45932</c:v>
                </c:pt>
                <c:pt idx="1">
                  <c:v>45946</c:v>
                </c:pt>
                <c:pt idx="2">
                  <c:v>45960</c:v>
                </c:pt>
                <c:pt idx="3">
                  <c:v>45974</c:v>
                </c:pt>
                <c:pt idx="4">
                  <c:v>45988</c:v>
                </c:pt>
                <c:pt idx="5">
                  <c:v>46072</c:v>
                </c:pt>
                <c:pt idx="6">
                  <c:v>46086</c:v>
                </c:pt>
                <c:pt idx="7">
                  <c:v>46100</c:v>
                </c:pt>
                <c:pt idx="8">
                  <c:v>46114</c:v>
                </c:pt>
                <c:pt idx="9">
                  <c:v>46128</c:v>
                </c:pt>
                <c:pt idx="10">
                  <c:v>46141</c:v>
                </c:pt>
                <c:pt idx="11">
                  <c:v>46168</c:v>
                </c:pt>
              </c:numCache>
            </c:numRef>
          </c:cat>
          <c:val>
            <c:numRef>
              <c:f>'PivotTable 3'!$C$8:$C$19</c:f>
              <c:numCache>
                <c:formatCode>0.00</c:formatCode>
                <c:ptCount val="12"/>
                <c:pt idx="0">
                  <c:v>20.149999999999999</c:v>
                </c:pt>
                <c:pt idx="1">
                  <c:v>20.46125</c:v>
                </c:pt>
                <c:pt idx="2">
                  <c:v>21.541249999999998</c:v>
                </c:pt>
                <c:pt idx="3">
                  <c:v>19.765050000000002</c:v>
                </c:pt>
                <c:pt idx="4">
                  <c:v>15.323749999999999</c:v>
                </c:pt>
                <c:pt idx="5" formatCode="_(* #,##0.00_);_(* \(#,##0.00\);_(* &quot;-&quot;??_);_(@_)">
                  <c:v>15.407499999999999</c:v>
                </c:pt>
                <c:pt idx="6">
                  <c:v>16.997500000000002</c:v>
                </c:pt>
                <c:pt idx="7">
                  <c:v>16.16375</c:v>
                </c:pt>
                <c:pt idx="8">
                  <c:v>16.41</c:v>
                </c:pt>
                <c:pt idx="9">
                  <c:v>16.3</c:v>
                </c:pt>
                <c:pt idx="10">
                  <c:v>17.940000000000001</c:v>
                </c:pt>
                <c:pt idx="11">
                  <c:v>18.643750000000001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2-4B8E-AAD3-A9EA9F28AA84}"/>
            </c:ext>
          </c:extLst>
        </c:ser>
        <c:ser>
          <c:idx val="1"/>
          <c:order val="1"/>
          <c:tx>
            <c:strRef>
              <c:f>'PivotTable 3'!$D$2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3'!$A$8:$A$19</c:f>
              <c:numCache>
                <c:formatCode>m/d/yyyy</c:formatCode>
                <c:ptCount val="12"/>
                <c:pt idx="0">
                  <c:v>45932</c:v>
                </c:pt>
                <c:pt idx="1">
                  <c:v>45946</c:v>
                </c:pt>
                <c:pt idx="2">
                  <c:v>45960</c:v>
                </c:pt>
                <c:pt idx="3">
                  <c:v>45974</c:v>
                </c:pt>
                <c:pt idx="4">
                  <c:v>45988</c:v>
                </c:pt>
                <c:pt idx="5">
                  <c:v>46072</c:v>
                </c:pt>
                <c:pt idx="6">
                  <c:v>46086</c:v>
                </c:pt>
                <c:pt idx="7">
                  <c:v>46100</c:v>
                </c:pt>
                <c:pt idx="8">
                  <c:v>46114</c:v>
                </c:pt>
                <c:pt idx="9">
                  <c:v>46128</c:v>
                </c:pt>
                <c:pt idx="10">
                  <c:v>46141</c:v>
                </c:pt>
                <c:pt idx="11">
                  <c:v>46168</c:v>
                </c:pt>
              </c:numCache>
            </c:numRef>
          </c:cat>
          <c:val>
            <c:numRef>
              <c:f>'PivotTable 3'!$E$8:$E$19</c:f>
              <c:numCache>
                <c:formatCode>0.00</c:formatCode>
                <c:ptCount val="12"/>
                <c:pt idx="0">
                  <c:v>39.553750000000001</c:v>
                </c:pt>
                <c:pt idx="1">
                  <c:v>35.025000000000006</c:v>
                </c:pt>
                <c:pt idx="2">
                  <c:v>36.247500000000002</c:v>
                </c:pt>
                <c:pt idx="3">
                  <c:v>41.2079375</c:v>
                </c:pt>
                <c:pt idx="4">
                  <c:v>38.605000000000004</c:v>
                </c:pt>
                <c:pt idx="5" formatCode="_(* #,##0.00_);_(* \(#,##0.00\);_(* &quot;-&quot;??_);_(@_)">
                  <c:v>35.46</c:v>
                </c:pt>
                <c:pt idx="6">
                  <c:v>38.129999999999995</c:v>
                </c:pt>
                <c:pt idx="7">
                  <c:v>37.39</c:v>
                </c:pt>
                <c:pt idx="8">
                  <c:v>32.948749999999997</c:v>
                </c:pt>
                <c:pt idx="9">
                  <c:v>33.526250000000005</c:v>
                </c:pt>
                <c:pt idx="10">
                  <c:v>32.797499999999999</c:v>
                </c:pt>
                <c:pt idx="11">
                  <c:v>36.168750000000003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2-4B8E-AAD3-A9EA9F28A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(g)</a:t>
                </a:r>
              </a:p>
            </c:rich>
          </c:tx>
          <c:layout>
            <c:manualLayout>
              <c:xMode val="edge"/>
              <c:yMode val="edge"/>
              <c:x val="1.6635983734399371E-2"/>
              <c:y val="0.38706686494081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de-DE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de-DE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rPr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de-DE" sz="1080" b="0" i="0" u="none" strike="noStrike" kern="1200" cap="all" spc="120" normalizeH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878232602276693"/>
          <c:y val="0.15549554728197326"/>
          <c:w val="0.84377778246685364"/>
          <c:h val="0.6376453816033032"/>
        </c:manualLayout>
      </c:layout>
      <c:lineChart>
        <c:grouping val="standard"/>
        <c:varyColors val="0"/>
        <c:ser>
          <c:idx val="0"/>
          <c:order val="0"/>
          <c:tx>
            <c:v>Greenhouse P.1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'2026_Climate'!$A$4:$A$10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'2026_Climate'!$B$4:$B$10</c:f>
              <c:numCache>
                <c:formatCode>0.00</c:formatCode>
                <c:ptCount val="7"/>
                <c:pt idx="0">
                  <c:v>14.134541527313305</c:v>
                </c:pt>
                <c:pt idx="1">
                  <c:v>15.386133180544901</c:v>
                </c:pt>
                <c:pt idx="2">
                  <c:v>16.456843617286999</c:v>
                </c:pt>
                <c:pt idx="3">
                  <c:v>17.800561601000599</c:v>
                </c:pt>
                <c:pt idx="4">
                  <c:v>19.0272073536769</c:v>
                </c:pt>
                <c:pt idx="5">
                  <c:v>19.839576228047743</c:v>
                </c:pt>
                <c:pt idx="6">
                  <c:v>21.473606557377082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E2-4581-851E-FBB147D75536}"/>
            </c:ext>
          </c:extLst>
        </c:ser>
        <c:ser>
          <c:idx val="1"/>
          <c:order val="1"/>
          <c:tx>
            <c:v>Greenhouse P.2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'2026_Climate'!$A$4:$A$10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'2026_Climate'!$B$13:$B$19</c:f>
              <c:numCache>
                <c:formatCode>0.00</c:formatCode>
                <c:ptCount val="7"/>
                <c:pt idx="0">
                  <c:v>19.827444693363201</c:v>
                </c:pt>
                <c:pt idx="1">
                  <c:v>19.9530237608585</c:v>
                </c:pt>
                <c:pt idx="2">
                  <c:v>19.970165704242962</c:v>
                </c:pt>
                <c:pt idx="3">
                  <c:v>20.051313346713499</c:v>
                </c:pt>
                <c:pt idx="4">
                  <c:v>20.196203784935399</c:v>
                </c:pt>
                <c:pt idx="5">
                  <c:v>20.442760204081608</c:v>
                </c:pt>
                <c:pt idx="6">
                  <c:v>21.689286520376314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E2-4581-851E-FBB147D75536}"/>
            </c:ext>
          </c:extLst>
        </c:ser>
        <c:ser>
          <c:idx val="2"/>
          <c:order val="2"/>
          <c:tx>
            <c:v>Weather station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'2026_Climate'!$A$4:$A$10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'2026_Climate'!$K$4:$K$10</c:f>
              <c:numCache>
                <c:formatCode>0.00</c:formatCode>
                <c:ptCount val="7"/>
                <c:pt idx="0">
                  <c:v>3.6070228056024245</c:v>
                </c:pt>
                <c:pt idx="1">
                  <c:v>5.8419471880669445</c:v>
                </c:pt>
                <c:pt idx="2">
                  <c:v>7.2302338677619939</c:v>
                </c:pt>
                <c:pt idx="3">
                  <c:v>8.6893672391016956</c:v>
                </c:pt>
                <c:pt idx="4">
                  <c:v>10.308315879602159</c:v>
                </c:pt>
                <c:pt idx="5">
                  <c:v>10.813671906220886</c:v>
                </c:pt>
                <c:pt idx="6">
                  <c:v>13.164803590010399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E2-4581-851E-FBB147D75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744736"/>
        <c:axId val="1112751936"/>
      </c:lineChart>
      <c:dateAx>
        <c:axId val="111274473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51936"/>
        <c:crosses val="autoZero"/>
        <c:auto val="0"/>
        <c:lblOffset val="100"/>
        <c:baseTimeUnit val="days"/>
        <c:majorUnit val="14"/>
        <c:majorTimeUnit val="days"/>
        <c:minorUnit val="14"/>
        <c:minorTimeUnit val="days"/>
      </c:dateAx>
      <c:valAx>
        <c:axId val="1112751936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de-DE" sz="800" b="0" i="0" u="none" strike="noStrike" kern="1200" cap="all" baseline="0">
                    <a:solidFill>
                      <a:sysClr val="windowText" lastClr="000000"/>
                    </a:solidFill>
                  </a:rPr>
                  <a:t>°C</a:t>
                </a:r>
                <a:endParaRPr lang="de-DE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44736"/>
        <c:crosses val="autoZero"/>
        <c:crossBetween val="between"/>
        <c:majorUnit val="5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cap="all" spc="120" normalizeH="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r>
              <a:rPr lang="de-DE"/>
              <a:t>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cap="all" spc="120" normalizeH="0" baseline="0">
              <a:solidFill>
                <a:schemeClr val="dk1"/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Greenhouse P.1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'2026_Climate'!$J$4:$J$10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'2026_Climate'!$D$4:$D$10</c:f>
              <c:numCache>
                <c:formatCode>0.00</c:formatCode>
                <c:ptCount val="7"/>
                <c:pt idx="0">
                  <c:v>88.018143812708956</c:v>
                </c:pt>
                <c:pt idx="1">
                  <c:v>85.978138528138615</c:v>
                </c:pt>
                <c:pt idx="2">
                  <c:v>84.007569323007459</c:v>
                </c:pt>
                <c:pt idx="3">
                  <c:v>80.764352720450361</c:v>
                </c:pt>
                <c:pt idx="4">
                  <c:v>77.54783641820913</c:v>
                </c:pt>
                <c:pt idx="5">
                  <c:v>74.027678798676433</c:v>
                </c:pt>
                <c:pt idx="6">
                  <c:v>70.896521086222108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5-4B1F-BF32-61F474CFAB19}"/>
            </c:ext>
          </c:extLst>
        </c:ser>
        <c:ser>
          <c:idx val="1"/>
          <c:order val="1"/>
          <c:tx>
            <c:v>Greenhouse P.2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'2026_Climate'!$J$4:$J$10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'2026_Climate'!$D$13:$D$19</c:f>
              <c:numCache>
                <c:formatCode>0.00</c:formatCode>
                <c:ptCount val="7"/>
                <c:pt idx="0">
                  <c:v>76.713217586110247</c:v>
                </c:pt>
                <c:pt idx="1">
                  <c:v>75.974642309657582</c:v>
                </c:pt>
                <c:pt idx="2">
                  <c:v>75.400112980165815</c:v>
                </c:pt>
                <c:pt idx="3">
                  <c:v>74.025664826894086</c:v>
                </c:pt>
                <c:pt idx="4">
                  <c:v>72.565547061035005</c:v>
                </c:pt>
                <c:pt idx="5">
                  <c:v>70.037461734693977</c:v>
                </c:pt>
                <c:pt idx="6">
                  <c:v>67.329567398119011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5-4B1F-BF32-61F474CFAB19}"/>
            </c:ext>
          </c:extLst>
        </c:ser>
        <c:ser>
          <c:idx val="2"/>
          <c:order val="2"/>
          <c:tx>
            <c:v>Weather station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'2026_Climate'!$J$4:$J$10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'2026_Climate'!$P$4:$P$10</c:f>
              <c:numCache>
                <c:formatCode>0.00</c:formatCode>
                <c:ptCount val="7"/>
                <c:pt idx="0">
                  <c:v>81.050729632617163</c:v>
                </c:pt>
                <c:pt idx="1">
                  <c:v>80.069636498018397</c:v>
                </c:pt>
                <c:pt idx="2">
                  <c:v>77.018179409036918</c:v>
                </c:pt>
                <c:pt idx="3">
                  <c:v>72.770442536327835</c:v>
                </c:pt>
                <c:pt idx="4">
                  <c:v>67.640196272146383</c:v>
                </c:pt>
                <c:pt idx="5">
                  <c:v>63.968216331424003</c:v>
                </c:pt>
                <c:pt idx="6">
                  <c:v>63.679428980228799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55-4B1F-BF32-61F474CF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744736"/>
        <c:axId val="1112751936"/>
      </c:lineChart>
      <c:dateAx>
        <c:axId val="111274473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51936"/>
        <c:crosses val="autoZero"/>
        <c:auto val="0"/>
        <c:lblOffset val="100"/>
        <c:baseTimeUnit val="days"/>
        <c:majorUnit val="14"/>
        <c:majorTimeUnit val="days"/>
        <c:minorUnit val="14"/>
        <c:minorTimeUnit val="days"/>
      </c:dateAx>
      <c:valAx>
        <c:axId val="1112751936"/>
        <c:scaling>
          <c:orientation val="minMax"/>
          <c:min val="50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de-DE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dk1"/>
                  </a:solidFill>
                  <a:latin typeface="+mj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44736"/>
        <c:crosses val="autoZero"/>
        <c:crossBetween val="between"/>
        <c:majorUnit val="1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j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j-lt"/>
          <a:ea typeface="+mn-ea"/>
          <a:cs typeface="+mn-cs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de-DE" altLang="zh-CN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rPr>
              <a:t>Greenhouse P.1</a:t>
            </a:r>
            <a:endParaRPr lang="en-US" sz="1080" b="0" i="0" u="none" strike="noStrike" kern="1200" cap="all" spc="120" normalizeH="0" baseline="0">
              <a:solidFill>
                <a:sysClr val="windowText" lastClr="000000"/>
              </a:solidFill>
              <a:latin typeface="+mj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80" b="0" i="0" u="none" strike="noStrike" kern="1200" cap="all" spc="120" normalizeH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463694490864145E-2"/>
          <c:y val="0.10666924203897757"/>
          <c:w val="0.90187807062993497"/>
          <c:h val="0.84361613384330891"/>
        </c:manualLayout>
      </c:layout>
      <c:lineChart>
        <c:grouping val="standard"/>
        <c:varyColors val="0"/>
        <c:ser>
          <c:idx val="0"/>
          <c:order val="0"/>
          <c:tx>
            <c:strRef>
              <c:f>'2026_Climate'!$A$3</c:f>
              <c:strCache>
                <c:ptCount val="1"/>
                <c:pt idx="0">
                  <c:v>lht65n-e5</c:v>
                </c:pt>
              </c:strCache>
            </c:strRef>
          </c:tx>
          <c:spPr>
            <a:ln w="28575" cap="rnd">
              <a:solidFill>
                <a:schemeClr val="accent1">
                  <a:alpha val="7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marker>
          <c:cat>
            <c:numRef>
              <c:f>'2026_Climate'!$A$4:$A$10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'2026_Climate'!$F$4:$F$10</c:f>
              <c:numCache>
                <c:formatCode>0</c:formatCode>
                <c:ptCount val="7"/>
                <c:pt idx="0">
                  <c:v>131070000</c:v>
                </c:pt>
                <c:pt idx="1">
                  <c:v>130480185</c:v>
                </c:pt>
                <c:pt idx="2">
                  <c:v>131528745</c:v>
                </c:pt>
                <c:pt idx="3">
                  <c:v>130873395</c:v>
                </c:pt>
                <c:pt idx="4">
                  <c:v>131070000</c:v>
                </c:pt>
                <c:pt idx="5">
                  <c:v>121436355</c:v>
                </c:pt>
                <c:pt idx="6">
                  <c:v>130873395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1B-4A87-AD3E-822442978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412255"/>
        <c:axId val="636424255"/>
      </c:lineChart>
      <c:catAx>
        <c:axId val="63641225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6424255"/>
        <c:crosses val="autoZero"/>
        <c:auto val="0"/>
        <c:lblAlgn val="ctr"/>
        <c:lblOffset val="100"/>
        <c:noMultiLvlLbl val="0"/>
      </c:catAx>
      <c:valAx>
        <c:axId val="636424255"/>
        <c:scaling>
          <c:orientation val="minMax"/>
          <c:max val="150000000"/>
          <c:min val="1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64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80" b="0" i="0" u="none" strike="noStrike" kern="1200" cap="none" spc="5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Lux. Summe 14 Tage (lx)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80" b="0" i="0" u="none" strike="noStrike" kern="1200" cap="none" spc="5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'2026_Climate'!$M$2</c:f>
              <c:strCache>
                <c:ptCount val="1"/>
                <c:pt idx="0">
                  <c:v>Lux. Summe 14 Tage (lx)</c:v>
                </c:pt>
              </c:strCache>
            </c:strRef>
          </c:tx>
          <c:spPr>
            <a:ln w="28575" cap="rnd">
              <a:solidFill>
                <a:schemeClr val="accent1">
                  <a:alpha val="7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'2026_Climate'!$N$4:$N$8</c:f>
                <c:numCache>
                  <c:formatCode>General</c:formatCode>
                  <c:ptCount val="5"/>
                  <c:pt idx="0">
                    <c:v>3564265</c:v>
                  </c:pt>
                  <c:pt idx="1">
                    <c:v>5603405</c:v>
                  </c:pt>
                  <c:pt idx="2">
                    <c:v>6775915</c:v>
                  </c:pt>
                  <c:pt idx="3">
                    <c:v>8354470</c:v>
                  </c:pt>
                  <c:pt idx="4">
                    <c:v>8901775</c:v>
                  </c:pt>
                </c:numCache>
              </c:numRef>
            </c:plus>
            <c:minus>
              <c:numRef>
                <c:f>'2026_Climate'!$O$4:$O$8</c:f>
                <c:numCache>
                  <c:formatCode>General</c:formatCode>
                  <c:ptCount val="5"/>
                  <c:pt idx="0">
                    <c:v>383055</c:v>
                  </c:pt>
                  <c:pt idx="1">
                    <c:v>689695</c:v>
                  </c:pt>
                  <c:pt idx="2">
                    <c:v>1067565</c:v>
                  </c:pt>
                  <c:pt idx="3">
                    <c:v>2729965</c:v>
                  </c:pt>
                  <c:pt idx="4">
                    <c:v>1670910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'2026_Climate'!$J$4:$J$10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'2026_Climate'!$M$4:$M$10</c:f>
              <c:numCache>
                <c:formatCode>0</c:formatCode>
                <c:ptCount val="7"/>
                <c:pt idx="0">
                  <c:v>23168185</c:v>
                </c:pt>
                <c:pt idx="1">
                  <c:v>44246530</c:v>
                </c:pt>
                <c:pt idx="2">
                  <c:v>53970365</c:v>
                </c:pt>
                <c:pt idx="3">
                  <c:v>72579460</c:v>
                </c:pt>
                <c:pt idx="4">
                  <c:v>79431945</c:v>
                </c:pt>
                <c:pt idx="5">
                  <c:v>97807050</c:v>
                </c:pt>
                <c:pt idx="6">
                  <c:v>103468709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6-429C-A22D-7E6D589AE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699855"/>
        <c:axId val="546704175"/>
      </c:lineChart>
      <c:dateAx>
        <c:axId val="546699855"/>
        <c:scaling>
          <c:orientation val="minMax"/>
          <c:max val="46142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none" spc="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6704175"/>
        <c:crosses val="autoZero"/>
        <c:auto val="0"/>
        <c:lblOffset val="100"/>
        <c:baseTimeUnit val="days"/>
        <c:majorUnit val="14"/>
        <c:majorTimeUnit val="days"/>
      </c:dateAx>
      <c:valAx>
        <c:axId val="5467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6699855"/>
        <c:crosses val="autoZero"/>
        <c:crossBetween val="between"/>
        <c:majorUnit val="1000000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en-US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rPr>
              <a:t>Lux. Summe 14 Tage</a:t>
            </a:r>
          </a:p>
          <a:p>
            <a:pPr algn="ctr" rtl="0">
              <a:defRPr lang="en-US" sz="1080" cap="all" spc="120">
                <a:solidFill>
                  <a:sysClr val="windowText" lastClr="000000"/>
                </a:solidFill>
                <a:ea typeface="+mn-ea"/>
                <a:cs typeface="+mn-cs"/>
              </a:defRPr>
            </a:pPr>
            <a:r>
              <a:rPr lang="en-US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rPr>
              <a:t>Greenhouse P.2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80" b="0" i="0" u="none" strike="noStrike" kern="1200" cap="all" spc="120" normalizeH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463694490864145E-2"/>
          <c:y val="0.10666924203897757"/>
          <c:w val="0.90187807062993497"/>
          <c:h val="0.84361613384330891"/>
        </c:manualLayout>
      </c:layout>
      <c:lineChart>
        <c:grouping val="standard"/>
        <c:varyColors val="0"/>
        <c:ser>
          <c:idx val="0"/>
          <c:order val="0"/>
          <c:tx>
            <c:strRef>
              <c:f>'2026_Climate'!$A$12</c:f>
              <c:strCache>
                <c:ptCount val="1"/>
                <c:pt idx="0">
                  <c:v>lht65s-e5-02</c:v>
                </c:pt>
              </c:strCache>
            </c:strRef>
          </c:tx>
          <c:spPr>
            <a:ln w="28575" cap="rnd">
              <a:solidFill>
                <a:schemeClr val="accent1">
                  <a:alpha val="7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'2026_Climate'!$G$13:$G$17</c:f>
                <c:numCache>
                  <c:formatCode>General</c:formatCode>
                  <c:ptCount val="5"/>
                  <c:pt idx="0">
                    <c:v>543539</c:v>
                  </c:pt>
                  <c:pt idx="1">
                    <c:v>551693</c:v>
                  </c:pt>
                  <c:pt idx="2">
                    <c:v>705042</c:v>
                  </c:pt>
                  <c:pt idx="3">
                    <c:v>857363</c:v>
                  </c:pt>
                  <c:pt idx="4">
                    <c:v>907905</c:v>
                  </c:pt>
                </c:numCache>
              </c:numRef>
            </c:plus>
            <c:minus>
              <c:numRef>
                <c:f>'2026_Climate'!$H$13:$H$17</c:f>
                <c:numCache>
                  <c:formatCode>General</c:formatCode>
                  <c:ptCount val="5"/>
                  <c:pt idx="0">
                    <c:v>319399</c:v>
                  </c:pt>
                  <c:pt idx="1">
                    <c:v>216942</c:v>
                  </c:pt>
                  <c:pt idx="2">
                    <c:v>110448</c:v>
                  </c:pt>
                  <c:pt idx="3">
                    <c:v>403160</c:v>
                  </c:pt>
                  <c:pt idx="4">
                    <c:v>260026</c:v>
                  </c:pt>
                </c:numCache>
              </c:numRef>
            </c:minus>
            <c:spPr>
              <a:noFill/>
              <a:ln w="25400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'2026_Climate'!$A$13:$A$19</c:f>
              <c:numCache>
                <c:formatCode>yyyy\-mm\-dd;@</c:formatCode>
                <c:ptCount val="7"/>
                <c:pt idx="0">
                  <c:v>46072</c:v>
                </c:pt>
                <c:pt idx="1">
                  <c:v>46086</c:v>
                </c:pt>
                <c:pt idx="2">
                  <c:v>46100</c:v>
                </c:pt>
                <c:pt idx="3">
                  <c:v>46114</c:v>
                </c:pt>
                <c:pt idx="4">
                  <c:v>46128</c:v>
                </c:pt>
                <c:pt idx="5">
                  <c:v>46141</c:v>
                </c:pt>
                <c:pt idx="6">
                  <c:v>46168</c:v>
                </c:pt>
              </c:numCache>
            </c:numRef>
          </c:cat>
          <c:val>
            <c:numRef>
              <c:f>'2026_Climate'!$F$13:$F$19</c:f>
              <c:numCache>
                <c:formatCode>0</c:formatCode>
                <c:ptCount val="7"/>
                <c:pt idx="0">
                  <c:v>5948390</c:v>
                </c:pt>
                <c:pt idx="1">
                  <c:v>5415085</c:v>
                </c:pt>
                <c:pt idx="2">
                  <c:v>4868457</c:v>
                </c:pt>
                <c:pt idx="3">
                  <c:v>8282324</c:v>
                </c:pt>
                <c:pt idx="4">
                  <c:v>9408341</c:v>
                </c:pt>
                <c:pt idx="5">
                  <c:v>10944235</c:v>
                </c:pt>
                <c:pt idx="6">
                  <c:v>12543915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A-4D44-818A-72CB62143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412255"/>
        <c:axId val="636424255"/>
      </c:lineChart>
      <c:catAx>
        <c:axId val="63641225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6424255"/>
        <c:crosses val="autoZero"/>
        <c:auto val="0"/>
        <c:lblAlgn val="ctr"/>
        <c:lblOffset val="100"/>
        <c:noMultiLvlLbl val="0"/>
      </c:catAx>
      <c:valAx>
        <c:axId val="6364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64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de-DE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de-DE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rPr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de-DE" sz="1080" b="0" i="0" u="none" strike="noStrike" kern="1200" cap="all" spc="120" normalizeH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878232602276693"/>
          <c:y val="0.15549554728197326"/>
          <c:w val="0.84377778246685364"/>
          <c:h val="0.6376453816033032"/>
        </c:manualLayout>
      </c:layout>
      <c:lineChart>
        <c:grouping val="standard"/>
        <c:varyColors val="0"/>
        <c:ser>
          <c:idx val="2"/>
          <c:order val="0"/>
          <c:tx>
            <c:strRef>
              <c:f>'2025_Climate'!$B$1</c:f>
              <c:strCache>
                <c:ptCount val="1"/>
                <c:pt idx="0">
                  <c:v>Temperature greenhouse - °C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'2025_Climate'!$A$2:$A$10</c:f>
              <c:numCache>
                <c:formatCode>yyyy\-mm\-dd;@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'2025_Climate'!$B$2:$B$10</c:f>
              <c:numCache>
                <c:formatCode>0.0</c:formatCode>
                <c:ptCount val="9"/>
                <c:pt idx="0">
                  <c:v>20.235130869420939</c:v>
                </c:pt>
                <c:pt idx="1">
                  <c:v>20.278333463568835</c:v>
                </c:pt>
                <c:pt idx="2">
                  <c:v>21.6400433293236</c:v>
                </c:pt>
                <c:pt idx="3">
                  <c:v>19.928612370766988</c:v>
                </c:pt>
                <c:pt idx="4">
                  <c:v>19.763532074415135</c:v>
                </c:pt>
                <c:pt idx="5">
                  <c:v>19.25840960667367</c:v>
                </c:pt>
                <c:pt idx="6">
                  <c:v>18.674284238039203</c:v>
                </c:pt>
                <c:pt idx="7">
                  <c:v>18.574385663818386</c:v>
                </c:pt>
                <c:pt idx="8">
                  <c:v>19.866315968466235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7-4B36-ADF2-DF37154CB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744736"/>
        <c:axId val="1112751936"/>
      </c:lineChart>
      <c:dateAx>
        <c:axId val="111274473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51936"/>
        <c:crosses val="autoZero"/>
        <c:auto val="0"/>
        <c:lblOffset val="100"/>
        <c:baseTimeUnit val="days"/>
        <c:majorUnit val="14"/>
        <c:majorTimeUnit val="days"/>
        <c:minorUnit val="14"/>
        <c:minorTimeUnit val="days"/>
      </c:dateAx>
      <c:valAx>
        <c:axId val="1112751936"/>
        <c:scaling>
          <c:orientation val="minMax"/>
          <c:min val="15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de-DE" sz="800" b="0" i="0" u="none" strike="noStrike" kern="1200" cap="all" baseline="0">
                    <a:solidFill>
                      <a:sysClr val="windowText" lastClr="000000"/>
                    </a:solidFill>
                  </a:rPr>
                  <a:t>°C</a:t>
                </a:r>
                <a:endParaRPr lang="de-DE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44736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cap="all" spc="120" normalizeH="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r>
              <a:rPr lang="de-DE"/>
              <a:t>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cap="all" spc="120" normalizeH="0" baseline="0">
              <a:solidFill>
                <a:schemeClr val="dk1"/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'2025_Climate'!$C$1</c:f>
              <c:strCache>
                <c:ptCount val="1"/>
                <c:pt idx="0">
                  <c:v>RH greenhouse - %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'2025_Climate'!$A$2:$A$10</c:f>
              <c:numCache>
                <c:formatCode>yyyy\-mm\-dd;@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'2025_Climate'!$C$2:$C$10</c:f>
              <c:numCache>
                <c:formatCode>0.00</c:formatCode>
                <c:ptCount val="9"/>
                <c:pt idx="0">
                  <c:v>78.447272879680327</c:v>
                </c:pt>
                <c:pt idx="1">
                  <c:v>73.528233971434119</c:v>
                </c:pt>
                <c:pt idx="2">
                  <c:v>77.005501026630171</c:v>
                </c:pt>
                <c:pt idx="3">
                  <c:v>83.392323161127607</c:v>
                </c:pt>
                <c:pt idx="4">
                  <c:v>82.114175540372699</c:v>
                </c:pt>
                <c:pt idx="5">
                  <c:v>85.147509298434855</c:v>
                </c:pt>
                <c:pt idx="6">
                  <c:v>84.146646168630056</c:v>
                </c:pt>
                <c:pt idx="7">
                  <c:v>82.27902494331066</c:v>
                </c:pt>
                <c:pt idx="8">
                  <c:v>82.764489498357804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64-4AD3-9672-79354FFE7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744736"/>
        <c:axId val="1112751936"/>
      </c:lineChart>
      <c:dateAx>
        <c:axId val="111274473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51936"/>
        <c:crosses val="autoZero"/>
        <c:auto val="0"/>
        <c:lblOffset val="100"/>
        <c:baseTimeUnit val="days"/>
        <c:majorUnit val="14"/>
        <c:majorTimeUnit val="days"/>
        <c:minorUnit val="14"/>
        <c:minorTimeUnit val="days"/>
      </c:dateAx>
      <c:valAx>
        <c:axId val="1112751936"/>
        <c:scaling>
          <c:orientation val="minMax"/>
          <c:max val="100"/>
          <c:min val="60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de-DE"/>
                  <a:t>%</a:t>
                </a:r>
              </a:p>
            </c:rich>
          </c:tx>
          <c:layout>
            <c:manualLayout>
              <c:xMode val="edge"/>
              <c:yMode val="edge"/>
              <c:x val="2.2835196409659829E-2"/>
              <c:y val="0.38897464425750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dk1"/>
                  </a:solidFill>
                  <a:latin typeface="+mj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44736"/>
        <c:crosses val="autoZero"/>
        <c:crossBetween val="between"/>
        <c:majorUnit val="10"/>
        <c:min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j-lt"/>
          <a:ea typeface="+mn-ea"/>
          <a:cs typeface="+mn-cs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de-DE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de-DE" sz="108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rPr>
              <a:t>air vent -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de-DE" sz="1080" b="0" i="0" u="none" strike="noStrike" kern="1200" cap="all" spc="120" normalizeH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878232602276693"/>
          <c:y val="0.15549554728197326"/>
          <c:w val="0.84377778246685364"/>
          <c:h val="0.6376453816033032"/>
        </c:manualLayout>
      </c:layout>
      <c:lineChart>
        <c:grouping val="standard"/>
        <c:varyColors val="0"/>
        <c:ser>
          <c:idx val="0"/>
          <c:order val="0"/>
          <c:tx>
            <c:strRef>
              <c:f>'2025_Climate'!$D$1</c:f>
              <c:strCache>
                <c:ptCount val="1"/>
                <c:pt idx="0">
                  <c:v>air vent - %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'2025_Climate'!$A$2:$A$10</c:f>
              <c:numCache>
                <c:formatCode>yyyy\-mm\-dd;@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'2025_Climate'!$D$2:$D$10</c:f>
              <c:numCache>
                <c:formatCode>0.00</c:formatCode>
                <c:ptCount val="9"/>
                <c:pt idx="0">
                  <c:v>71.814275707234103</c:v>
                </c:pt>
                <c:pt idx="1">
                  <c:v>87.907766958409383</c:v>
                </c:pt>
                <c:pt idx="2">
                  <c:v>66.206543643880309</c:v>
                </c:pt>
                <c:pt idx="3">
                  <c:v>66.582187384197894</c:v>
                </c:pt>
                <c:pt idx="4">
                  <c:v>34.755383555104274</c:v>
                </c:pt>
                <c:pt idx="5">
                  <c:v>31.337702647115783</c:v>
                </c:pt>
                <c:pt idx="6">
                  <c:v>22.18875278261714</c:v>
                </c:pt>
                <c:pt idx="7">
                  <c:v>19.861908477822031</c:v>
                </c:pt>
                <c:pt idx="8">
                  <c:v>17.384793398017681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E-4D8B-AE97-7CB755DB4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744736"/>
        <c:axId val="1112751936"/>
      </c:lineChart>
      <c:dateAx>
        <c:axId val="111274473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51936"/>
        <c:crosses val="autoZero"/>
        <c:auto val="0"/>
        <c:lblOffset val="100"/>
        <c:baseTimeUnit val="days"/>
        <c:majorUnit val="14"/>
        <c:majorTimeUnit val="days"/>
        <c:minorUnit val="14"/>
        <c:minorTimeUnit val="days"/>
      </c:dateAx>
      <c:valAx>
        <c:axId val="1112751936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de-DE" sz="800" b="0" i="0" u="none" strike="noStrike" kern="1200" cap="all" baseline="0">
                    <a:solidFill>
                      <a:sysClr val="windowText" lastClr="000000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de-DE"/>
          </a:p>
        </c:txPr>
        <c:crossAx val="1112744736"/>
        <c:crosses val="autoZero"/>
        <c:crossBetween val="between"/>
        <c:majorUnit val="20"/>
        <c:min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ChlM</a:t>
            </a:r>
            <a:r>
              <a:rPr lang="de-DE" baseline="0"/>
              <a:t> Change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1'!$A$4:$A$11</c:f>
              <c:numCache>
                <c:formatCode>m/d/yyyy</c:formatCode>
                <c:ptCount val="8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</c:numCache>
            </c:numRef>
          </c:cat>
          <c:val>
            <c:numRef>
              <c:f>'PivotTable 1'!$B$4:$B$11</c:f>
              <c:numCache>
                <c:formatCode>0.00</c:formatCode>
                <c:ptCount val="8"/>
                <c:pt idx="0">
                  <c:v>0.60500000000000009</c:v>
                </c:pt>
                <c:pt idx="1">
                  <c:v>0.67666666666666675</c:v>
                </c:pt>
                <c:pt idx="2">
                  <c:v>0.57125000000000004</c:v>
                </c:pt>
                <c:pt idx="3">
                  <c:v>0.55999999999999994</c:v>
                </c:pt>
                <c:pt idx="4">
                  <c:v>0.49333333333333335</c:v>
                </c:pt>
                <c:pt idx="5">
                  <c:v>0.62375000000000003</c:v>
                </c:pt>
                <c:pt idx="6">
                  <c:v>0.67874999999999996</c:v>
                </c:pt>
                <c:pt idx="7">
                  <c:v>0.73750000000000004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4-49AA-8C13-9B51BA4919D2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1'!$A$4:$A$11</c:f>
              <c:numCache>
                <c:formatCode>m/d/yyyy</c:formatCode>
                <c:ptCount val="8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</c:numCache>
            </c:numRef>
          </c:cat>
          <c:val>
            <c:numRef>
              <c:f>'PivotTable 1'!$H$4:$H$11</c:f>
              <c:numCache>
                <c:formatCode>0.00</c:formatCode>
                <c:ptCount val="8"/>
                <c:pt idx="0">
                  <c:v>0.68500000000000005</c:v>
                </c:pt>
                <c:pt idx="1">
                  <c:v>0.64250000000000007</c:v>
                </c:pt>
                <c:pt idx="2">
                  <c:v>0.51</c:v>
                </c:pt>
                <c:pt idx="3">
                  <c:v>0.53625</c:v>
                </c:pt>
                <c:pt idx="4">
                  <c:v>0.61583333333333323</c:v>
                </c:pt>
                <c:pt idx="5">
                  <c:v>0.66749999999999998</c:v>
                </c:pt>
                <c:pt idx="6">
                  <c:v>0.78874999999999995</c:v>
                </c:pt>
                <c:pt idx="7">
                  <c:v>0.6825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B4-49AA-8C13-9B51BA491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ChlM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Flv</a:t>
            </a:r>
            <a:r>
              <a:rPr lang="de-DE" baseline="0"/>
              <a:t> Change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1'!$A$4:$A$11</c:f>
              <c:numCache>
                <c:formatCode>m/d/yyyy</c:formatCode>
                <c:ptCount val="8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</c:numCache>
            </c:numRef>
          </c:cat>
          <c:val>
            <c:numRef>
              <c:f>'PivotTable 1'!$C$4:$C$11</c:f>
              <c:numCache>
                <c:formatCode>0.00</c:formatCode>
                <c:ptCount val="8"/>
                <c:pt idx="0">
                  <c:v>8.666666666666667E-2</c:v>
                </c:pt>
                <c:pt idx="1">
                  <c:v>8.5833333333333331E-2</c:v>
                </c:pt>
                <c:pt idx="2">
                  <c:v>9.8750000000000004E-2</c:v>
                </c:pt>
                <c:pt idx="3">
                  <c:v>8.8750000000000009E-2</c:v>
                </c:pt>
                <c:pt idx="4">
                  <c:v>0.12250000000000001</c:v>
                </c:pt>
                <c:pt idx="5">
                  <c:v>0.09</c:v>
                </c:pt>
                <c:pt idx="6">
                  <c:v>6.5000000000000002E-2</c:v>
                </c:pt>
                <c:pt idx="7">
                  <c:v>9.1250000000000012E-2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D-41D9-BF19-AB215D2FCF84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1'!$A$4:$A$11</c:f>
              <c:numCache>
                <c:formatCode>m/d/yyyy</c:formatCode>
                <c:ptCount val="8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</c:numCache>
            </c:numRef>
          </c:cat>
          <c:val>
            <c:numRef>
              <c:f>'PivotTable 1'!$I$4:$I$11</c:f>
              <c:numCache>
                <c:formatCode>0.00</c:formatCode>
                <c:ptCount val="8"/>
                <c:pt idx="0">
                  <c:v>9.3333333333333324E-2</c:v>
                </c:pt>
                <c:pt idx="1">
                  <c:v>9.5833333333333326E-2</c:v>
                </c:pt>
                <c:pt idx="2">
                  <c:v>0.12</c:v>
                </c:pt>
                <c:pt idx="3">
                  <c:v>0.14874999999999999</c:v>
                </c:pt>
                <c:pt idx="4" formatCode="General">
                  <c:v>0.12</c:v>
                </c:pt>
                <c:pt idx="5">
                  <c:v>0.12</c:v>
                </c:pt>
                <c:pt idx="6">
                  <c:v>9.5000000000000001E-2</c:v>
                </c:pt>
                <c:pt idx="7">
                  <c:v>7.6250000000000012E-2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D-41D9-BF19-AB215D2FC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ChlM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NFI</a:t>
            </a:r>
            <a:r>
              <a:rPr lang="de-DE" baseline="0"/>
              <a:t> Change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1'!$A$4:$A$11</c:f>
              <c:numCache>
                <c:formatCode>m/d/yyyy</c:formatCode>
                <c:ptCount val="8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</c:numCache>
            </c:numRef>
          </c:cat>
          <c:val>
            <c:numRef>
              <c:f>'PivotTable 1'!$E$4:$E$11</c:f>
              <c:numCache>
                <c:formatCode>0.00</c:formatCode>
                <c:ptCount val="8"/>
                <c:pt idx="0">
                  <c:v>7.84</c:v>
                </c:pt>
                <c:pt idx="1">
                  <c:v>8.5474999999999994</c:v>
                </c:pt>
                <c:pt idx="2">
                  <c:v>5.8825000000000003</c:v>
                </c:pt>
                <c:pt idx="3">
                  <c:v>7.1849999999999996</c:v>
                </c:pt>
                <c:pt idx="4">
                  <c:v>4.2925000000000004</c:v>
                </c:pt>
                <c:pt idx="5">
                  <c:v>7.2137500000000001</c:v>
                </c:pt>
                <c:pt idx="6">
                  <c:v>11.2425</c:v>
                </c:pt>
                <c:pt idx="7">
                  <c:v>8.8500000000000014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4-4CF1-A0C7-4BD07237F4A3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1'!$A$4:$A$11</c:f>
              <c:numCache>
                <c:formatCode>m/d/yyyy</c:formatCode>
                <c:ptCount val="8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</c:numCache>
            </c:numRef>
          </c:cat>
          <c:val>
            <c:numRef>
              <c:f>'PivotTable 1'!$K$4:$K$11</c:f>
              <c:numCache>
                <c:formatCode>0.00</c:formatCode>
                <c:ptCount val="8"/>
                <c:pt idx="0">
                  <c:v>8.5458333333333343</c:v>
                </c:pt>
                <c:pt idx="1">
                  <c:v>7.610833333333332</c:v>
                </c:pt>
                <c:pt idx="2">
                  <c:v>4.6725000000000003</c:v>
                </c:pt>
                <c:pt idx="3">
                  <c:v>4.0449999999999999</c:v>
                </c:pt>
                <c:pt idx="4">
                  <c:v>5.3433333333333337</c:v>
                </c:pt>
                <c:pt idx="5">
                  <c:v>6.09</c:v>
                </c:pt>
                <c:pt idx="6">
                  <c:v>8.7537500000000001</c:v>
                </c:pt>
                <c:pt idx="7">
                  <c:v>10.42375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64-4CF1-A0C7-4BD07237F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ChlM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Water Content</a:t>
            </a:r>
            <a:r>
              <a:rPr lang="de-DE" baseline="0"/>
              <a:t> Chang</a:t>
            </a:r>
            <a:r>
              <a:rPr lang="de-DE" altLang="zh-CN" baseline="0"/>
              <a:t>e</a:t>
            </a:r>
            <a:r>
              <a:rPr lang="de-DE" baseline="0"/>
              <a:t>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1'!$F$4:$F$12</c:f>
              <c:numCache>
                <c:formatCode>0.00%</c:formatCode>
                <c:ptCount val="9"/>
                <c:pt idx="0">
                  <c:v>0.94064999999999999</c:v>
                </c:pt>
                <c:pt idx="1">
                  <c:v>0.91940000000000011</c:v>
                </c:pt>
                <c:pt idx="2">
                  <c:v>0.91449999999999998</c:v>
                </c:pt>
                <c:pt idx="3">
                  <c:v>0.93465000000000009</c:v>
                </c:pt>
                <c:pt idx="4">
                  <c:v>0.92912499999999998</c:v>
                </c:pt>
                <c:pt idx="5">
                  <c:v>0.93022500000000008</c:v>
                </c:pt>
                <c:pt idx="6">
                  <c:v>0.93272500000000003</c:v>
                </c:pt>
                <c:pt idx="7">
                  <c:v>0.92325000000000002</c:v>
                </c:pt>
                <c:pt idx="8">
                  <c:v>0.91660000000000008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8-4FB4-8C37-18A4491D4F31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1'!$L$4:$L$12</c:f>
              <c:numCache>
                <c:formatCode>0.00%</c:formatCode>
                <c:ptCount val="9"/>
                <c:pt idx="0">
                  <c:v>0.95574999999999999</c:v>
                </c:pt>
                <c:pt idx="1">
                  <c:v>0.95642499999999997</c:v>
                </c:pt>
                <c:pt idx="2">
                  <c:v>0.95237499999999997</c:v>
                </c:pt>
                <c:pt idx="3">
                  <c:v>0.94789999999999996</c:v>
                </c:pt>
                <c:pt idx="4">
                  <c:v>0.94887499999999991</c:v>
                </c:pt>
                <c:pt idx="5">
                  <c:v>0.95287499999999992</c:v>
                </c:pt>
                <c:pt idx="6">
                  <c:v>0.95469999999999999</c:v>
                </c:pt>
                <c:pt idx="7">
                  <c:v>0.95467499999999994</c:v>
                </c:pt>
                <c:pt idx="8">
                  <c:v>0.94757500000000006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78-4FB4-8C37-18A4491D4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Water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Minerals </a:t>
            </a:r>
            <a:r>
              <a:rPr lang="de-DE" baseline="0"/>
              <a:t>Change Overtime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1'!$B$2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1'!$G$4:$G$12</c:f>
              <c:numCache>
                <c:formatCode>0.00%</c:formatCode>
                <c:ptCount val="9"/>
                <c:pt idx="0">
                  <c:v>4.3071900750114812E-3</c:v>
                </c:pt>
                <c:pt idx="1">
                  <c:v>5.2650935097048939E-3</c:v>
                </c:pt>
                <c:pt idx="2">
                  <c:v>4.8986909969212121E-3</c:v>
                </c:pt>
                <c:pt idx="3">
                  <c:v>5.030383519629365E-3</c:v>
                </c:pt>
                <c:pt idx="4">
                  <c:v>5.4316241910819137E-3</c:v>
                </c:pt>
                <c:pt idx="5">
                  <c:v>4.3268417428155032E-3</c:v>
                </c:pt>
                <c:pt idx="6">
                  <c:v>5.2199564946630419E-3</c:v>
                </c:pt>
                <c:pt idx="7">
                  <c:v>4.6404158140311621E-3</c:v>
                </c:pt>
                <c:pt idx="8">
                  <c:v>5.1065694812174947E-3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3-48BA-AE5A-D3D9F5B31B27}"/>
            </c:ext>
          </c:extLst>
        </c:ser>
        <c:ser>
          <c:idx val="1"/>
          <c:order val="1"/>
          <c:tx>
            <c:strRef>
              <c:f>'PivotTable 1'!$H$2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1'!$M$4:$M$12</c:f>
              <c:numCache>
                <c:formatCode>0.00%</c:formatCode>
                <c:ptCount val="9"/>
                <c:pt idx="0">
                  <c:v>3.997974774748855E-3</c:v>
                </c:pt>
                <c:pt idx="1">
                  <c:v>3.8529113229666236E-3</c:v>
                </c:pt>
                <c:pt idx="2">
                  <c:v>3.7025074218619619E-3</c:v>
                </c:pt>
                <c:pt idx="3">
                  <c:v>3.7055595438362588E-3</c:v>
                </c:pt>
                <c:pt idx="4">
                  <c:v>3.7662668661452448E-3</c:v>
                </c:pt>
                <c:pt idx="5">
                  <c:v>3.4262570386669423E-3</c:v>
                </c:pt>
                <c:pt idx="6">
                  <c:v>3.6541443939724456E-3</c:v>
                </c:pt>
                <c:pt idx="7">
                  <c:v>3.6530697816420008E-3</c:v>
                </c:pt>
                <c:pt idx="8">
                  <c:v>4.9203381790229577E-3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A3-48BA-AE5A-D3D9F5B31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Minerals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 Phenols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2'!$B$4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2'!$C$6:$C$14</c:f>
              <c:numCache>
                <c:formatCode>0.00</c:formatCode>
                <c:ptCount val="9"/>
                <c:pt idx="0">
                  <c:v>1711.6616775873852</c:v>
                </c:pt>
                <c:pt idx="1">
                  <c:v>1414.7801634940672</c:v>
                </c:pt>
                <c:pt idx="2">
                  <c:v>1947.279585036694</c:v>
                </c:pt>
                <c:pt idx="3">
                  <c:v>1240.8499102433473</c:v>
                </c:pt>
                <c:pt idx="4">
                  <c:v>1327.3748778427557</c:v>
                </c:pt>
                <c:pt idx="5">
                  <c:v>1183.1903494251383</c:v>
                </c:pt>
                <c:pt idx="6">
                  <c:v>1125.3072693530319</c:v>
                </c:pt>
                <c:pt idx="7">
                  <c:v>813.74935008783132</c:v>
                </c:pt>
                <c:pt idx="8">
                  <c:v>686.2009236462311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0-4F15-B12E-80349C48FA54}"/>
            </c:ext>
          </c:extLst>
        </c:ser>
        <c:ser>
          <c:idx val="1"/>
          <c:order val="1"/>
          <c:tx>
            <c:strRef>
              <c:f>'PivotTable 2'!$E$4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2'!$F$6:$F$14</c:f>
              <c:numCache>
                <c:formatCode>0.00</c:formatCode>
                <c:ptCount val="9"/>
                <c:pt idx="0">
                  <c:v>2272.407871768658</c:v>
                </c:pt>
                <c:pt idx="1">
                  <c:v>2429.5058619988131</c:v>
                </c:pt>
                <c:pt idx="2">
                  <c:v>2292.3381996838707</c:v>
                </c:pt>
                <c:pt idx="3">
                  <c:v>1611.5196781286668</c:v>
                </c:pt>
                <c:pt idx="4">
                  <c:v>1508.1475920394037</c:v>
                </c:pt>
                <c:pt idx="5">
                  <c:v>1548.7099284030867</c:v>
                </c:pt>
                <c:pt idx="6">
                  <c:v>1508.462397739394</c:v>
                </c:pt>
                <c:pt idx="7">
                  <c:v>1540.0721596091935</c:v>
                </c:pt>
                <c:pt idx="8">
                  <c:v>1298.920928101553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20-4F15-B12E-80349C48F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 GAE/100 g </a:t>
                </a:r>
                <a:r>
                  <a:rPr lang="de-DE" sz="10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10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:rich>
          </c:tx>
          <c:layout>
            <c:manualLayout>
              <c:xMode val="edge"/>
              <c:yMode val="edge"/>
              <c:x val="1.6636085306439639E-2"/>
              <c:y val="0.26430555555555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Display" panose="02110004020202020204"/>
              </a:rPr>
              <a:t>Antioxidant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2'!$B$4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2'!$D$6:$D$14</c:f>
              <c:numCache>
                <c:formatCode>0.00</c:formatCode>
                <c:ptCount val="9"/>
                <c:pt idx="0">
                  <c:v>14.480523399447398</c:v>
                </c:pt>
                <c:pt idx="1">
                  <c:v>8.6993860090014241</c:v>
                </c:pt>
                <c:pt idx="2">
                  <c:v>13.556992286637637</c:v>
                </c:pt>
                <c:pt idx="3">
                  <c:v>8.3920264423925399</c:v>
                </c:pt>
                <c:pt idx="4">
                  <c:v>7.7626948158916962</c:v>
                </c:pt>
                <c:pt idx="5">
                  <c:v>6.8779857117812133</c:v>
                </c:pt>
                <c:pt idx="6">
                  <c:v>6.161822405813826</c:v>
                </c:pt>
                <c:pt idx="7">
                  <c:v>5.9079192274173407</c:v>
                </c:pt>
                <c:pt idx="8">
                  <c:v>7.0221746683847739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C-4D8A-875F-F3DE39197CDA}"/>
            </c:ext>
          </c:extLst>
        </c:ser>
        <c:ser>
          <c:idx val="1"/>
          <c:order val="1"/>
          <c:tx>
            <c:strRef>
              <c:f>'PivotTable 2'!$E$4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2'!$G$6:$G$14</c:f>
              <c:numCache>
                <c:formatCode>0.00</c:formatCode>
                <c:ptCount val="9"/>
                <c:pt idx="0">
                  <c:v>21.55959931082992</c:v>
                </c:pt>
                <c:pt idx="1">
                  <c:v>19.480534306046042</c:v>
                </c:pt>
                <c:pt idx="2">
                  <c:v>17.840101511289799</c:v>
                </c:pt>
                <c:pt idx="3">
                  <c:v>11.178684328392272</c:v>
                </c:pt>
                <c:pt idx="4">
                  <c:v>8.8948313701828106</c:v>
                </c:pt>
                <c:pt idx="5">
                  <c:v>8.5689450272958254</c:v>
                </c:pt>
                <c:pt idx="6">
                  <c:v>7.1273252223981505</c:v>
                </c:pt>
                <c:pt idx="7">
                  <c:v>8.8281685444975349</c:v>
                </c:pt>
                <c:pt idx="8">
                  <c:v>8.467342904764422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C-4D8A-875F-F3DE39197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mmol TAE/100 g </a:t>
                </a:r>
                <a:r>
                  <a:rPr lang="de-DE" sz="10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10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:rich>
          </c:tx>
          <c:layout>
            <c:manualLayout>
              <c:xMode val="edge"/>
              <c:yMode val="edge"/>
              <c:x val="1.6636085306439639E-2"/>
              <c:y val="0.24115740740740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Display" panose="02110004020202020204"/>
              </a:rPr>
              <a:t>Vitamin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2'!$B$4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2'!$B$6:$B$14</c:f>
              <c:numCache>
                <c:formatCode>0.00</c:formatCode>
                <c:ptCount val="9"/>
                <c:pt idx="0">
                  <c:v>1137.990525179398</c:v>
                </c:pt>
                <c:pt idx="1">
                  <c:v>1078.9316103381316</c:v>
                </c:pt>
                <c:pt idx="2">
                  <c:v>727.09969570387022</c:v>
                </c:pt>
                <c:pt idx="3">
                  <c:v>762.9121034113416</c:v>
                </c:pt>
                <c:pt idx="4">
                  <c:v>768.17652491789727</c:v>
                </c:pt>
                <c:pt idx="5">
                  <c:v>647.50428320023377</c:v>
                </c:pt>
                <c:pt idx="6">
                  <c:v>646.85114554845313</c:v>
                </c:pt>
                <c:pt idx="7">
                  <c:v>535.84157705758048</c:v>
                </c:pt>
                <c:pt idx="8">
                  <c:v>443.48106502019073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E-4BCA-8865-1F1C95CA3DE3}"/>
            </c:ext>
          </c:extLst>
        </c:ser>
        <c:ser>
          <c:idx val="1"/>
          <c:order val="1"/>
          <c:tx>
            <c:strRef>
              <c:f>'PivotTable 2'!$E$4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1'!$A$4:$A$12</c:f>
              <c:numCache>
                <c:formatCode>m/d/yyyy</c:formatCode>
                <c:ptCount val="9"/>
                <c:pt idx="0">
                  <c:v>45876</c:v>
                </c:pt>
                <c:pt idx="1">
                  <c:v>45890</c:v>
                </c:pt>
                <c:pt idx="2">
                  <c:v>45904</c:v>
                </c:pt>
                <c:pt idx="3">
                  <c:v>45918</c:v>
                </c:pt>
                <c:pt idx="4">
                  <c:v>45932</c:v>
                </c:pt>
                <c:pt idx="5">
                  <c:v>45946</c:v>
                </c:pt>
                <c:pt idx="6">
                  <c:v>45960</c:v>
                </c:pt>
                <c:pt idx="7">
                  <c:v>45974</c:v>
                </c:pt>
                <c:pt idx="8">
                  <c:v>45988</c:v>
                </c:pt>
              </c:numCache>
            </c:numRef>
          </c:cat>
          <c:val>
            <c:numRef>
              <c:f>'PivotTable 2'!$E$6:$E$14</c:f>
              <c:numCache>
                <c:formatCode>0.00</c:formatCode>
                <c:ptCount val="9"/>
                <c:pt idx="0">
                  <c:v>1474.2218124536771</c:v>
                </c:pt>
                <c:pt idx="1">
                  <c:v>1501.9534910588441</c:v>
                </c:pt>
                <c:pt idx="2">
                  <c:v>1164.5887181605228</c:v>
                </c:pt>
                <c:pt idx="3">
                  <c:v>1022.4953778001608</c:v>
                </c:pt>
                <c:pt idx="4">
                  <c:v>915.2151153026449</c:v>
                </c:pt>
                <c:pt idx="5">
                  <c:v>626.03889393893996</c:v>
                </c:pt>
                <c:pt idx="6">
                  <c:v>508.65416446084879</c:v>
                </c:pt>
                <c:pt idx="7">
                  <c:v>662.41594439532923</c:v>
                </c:pt>
                <c:pt idx="8">
                  <c:v>481.69451718037465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E-4BCA-8865-1F1C95CA3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mg/100 g </a:t>
                </a: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10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:rich>
          </c:tx>
          <c:layout>
            <c:manualLayout>
              <c:xMode val="edge"/>
              <c:yMode val="edge"/>
              <c:x val="1.6636085306439639E-2"/>
              <c:y val="0.26430555555555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Display" panose="02110004020202020204"/>
              </a:rPr>
              <a:t>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3'!$B$2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3'!$A$8:$A$12</c:f>
              <c:numCache>
                <c:formatCode>m/d/yyyy</c:formatCode>
                <c:ptCount val="5"/>
                <c:pt idx="0">
                  <c:v>45932</c:v>
                </c:pt>
                <c:pt idx="1">
                  <c:v>45946</c:v>
                </c:pt>
                <c:pt idx="2">
                  <c:v>45960</c:v>
                </c:pt>
                <c:pt idx="3">
                  <c:v>45974</c:v>
                </c:pt>
                <c:pt idx="4">
                  <c:v>45988</c:v>
                </c:pt>
              </c:numCache>
            </c:numRef>
          </c:cat>
          <c:val>
            <c:numRef>
              <c:f>'PivotTable 3'!$B$8:$B$12</c:f>
              <c:numCache>
                <c:formatCode>0.00</c:formatCode>
                <c:ptCount val="5"/>
                <c:pt idx="0">
                  <c:v>30.931249999999999</c:v>
                </c:pt>
                <c:pt idx="1">
                  <c:v>32.162500000000001</c:v>
                </c:pt>
                <c:pt idx="2">
                  <c:v>33.625</c:v>
                </c:pt>
                <c:pt idx="3">
                  <c:v>30.674999999999997</c:v>
                </c:pt>
                <c:pt idx="4">
                  <c:v>30.365624999999998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9-440D-9B6F-513A7ED702C4}"/>
            </c:ext>
          </c:extLst>
        </c:ser>
        <c:ser>
          <c:idx val="1"/>
          <c:order val="1"/>
          <c:tx>
            <c:strRef>
              <c:f>'PivotTable 3'!$D$2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3'!$A$8:$A$12</c:f>
              <c:numCache>
                <c:formatCode>m/d/yyyy</c:formatCode>
                <c:ptCount val="5"/>
                <c:pt idx="0">
                  <c:v>45932</c:v>
                </c:pt>
                <c:pt idx="1">
                  <c:v>45946</c:v>
                </c:pt>
                <c:pt idx="2">
                  <c:v>45960</c:v>
                </c:pt>
                <c:pt idx="3">
                  <c:v>45974</c:v>
                </c:pt>
                <c:pt idx="4">
                  <c:v>45988</c:v>
                </c:pt>
              </c:numCache>
            </c:numRef>
          </c:cat>
          <c:val>
            <c:numRef>
              <c:f>'PivotTable 3'!$D$8:$D$12</c:f>
              <c:numCache>
                <c:formatCode>0.00</c:formatCode>
                <c:ptCount val="5"/>
                <c:pt idx="0">
                  <c:v>43.71875</c:v>
                </c:pt>
                <c:pt idx="1">
                  <c:v>41.40625</c:v>
                </c:pt>
                <c:pt idx="2">
                  <c:v>42.3</c:v>
                </c:pt>
                <c:pt idx="3">
                  <c:v>40.387500000000003</c:v>
                </c:pt>
                <c:pt idx="4">
                  <c:v>43.2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9-440D-9B6F-513A7ED70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Ø (mm)</a:t>
                </a:r>
              </a:p>
            </c:rich>
          </c:tx>
          <c:layout>
            <c:manualLayout>
              <c:xMode val="edge"/>
              <c:yMode val="edge"/>
              <c:x val="1.6636195525343338E-2"/>
              <c:y val="0.38706686494081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chemeClr val="bg2">
                    <a:lumMod val="25000"/>
                  </a:schemeClr>
                </a:solidFill>
                <a:effectLst/>
              </a:rPr>
              <a:t>Weight</a:t>
            </a:r>
            <a:endPara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3'!$B$2</c:f>
              <c:strCache>
                <c:ptCount val="1"/>
                <c:pt idx="0">
                  <c:v>Strabelina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'PivotTable 3'!$A$8:$A$12</c:f>
              <c:numCache>
                <c:formatCode>m/d/yyyy</c:formatCode>
                <c:ptCount val="5"/>
                <c:pt idx="0">
                  <c:v>45932</c:v>
                </c:pt>
                <c:pt idx="1">
                  <c:v>45946</c:v>
                </c:pt>
                <c:pt idx="2">
                  <c:v>45960</c:v>
                </c:pt>
                <c:pt idx="3">
                  <c:v>45974</c:v>
                </c:pt>
                <c:pt idx="4">
                  <c:v>45988</c:v>
                </c:pt>
              </c:numCache>
            </c:numRef>
          </c:cat>
          <c:val>
            <c:numRef>
              <c:f>'PivotTable 3'!$C$8:$C$12</c:f>
              <c:numCache>
                <c:formatCode>0.00</c:formatCode>
                <c:ptCount val="5"/>
                <c:pt idx="0">
                  <c:v>20.149999999999999</c:v>
                </c:pt>
                <c:pt idx="1">
                  <c:v>20.46125</c:v>
                </c:pt>
                <c:pt idx="2">
                  <c:v>21.541249999999998</c:v>
                </c:pt>
                <c:pt idx="3">
                  <c:v>19.765050000000002</c:v>
                </c:pt>
                <c:pt idx="4">
                  <c:v>15.323749999999999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6-4045-B5F3-E92A3B66856A}"/>
            </c:ext>
          </c:extLst>
        </c:ser>
        <c:ser>
          <c:idx val="1"/>
          <c:order val="1"/>
          <c:tx>
            <c:strRef>
              <c:f>'PivotTable 3'!$D$2</c:f>
              <c:strCache>
                <c:ptCount val="1"/>
                <c:pt idx="0">
                  <c:v>Shivious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'PivotTable 3'!$A$8:$A$12</c:f>
              <c:numCache>
                <c:formatCode>m/d/yyyy</c:formatCode>
                <c:ptCount val="5"/>
                <c:pt idx="0">
                  <c:v>45932</c:v>
                </c:pt>
                <c:pt idx="1">
                  <c:v>45946</c:v>
                </c:pt>
                <c:pt idx="2">
                  <c:v>45960</c:v>
                </c:pt>
                <c:pt idx="3">
                  <c:v>45974</c:v>
                </c:pt>
                <c:pt idx="4">
                  <c:v>45988</c:v>
                </c:pt>
              </c:numCache>
            </c:numRef>
          </c:cat>
          <c:val>
            <c:numRef>
              <c:f>'PivotTable 3'!$E$8:$E$12</c:f>
              <c:numCache>
                <c:formatCode>0.00</c:formatCode>
                <c:ptCount val="5"/>
                <c:pt idx="0">
                  <c:v>39.553750000000001</c:v>
                </c:pt>
                <c:pt idx="1">
                  <c:v>35.025000000000006</c:v>
                </c:pt>
                <c:pt idx="2">
                  <c:v>36.247500000000002</c:v>
                </c:pt>
                <c:pt idx="3">
                  <c:v>41.2079375</c:v>
                </c:pt>
                <c:pt idx="4">
                  <c:v>38.605000000000004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6-4045-B5F3-E92A3B668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07839"/>
        <c:axId val="1026218399"/>
      </c:lineChart>
      <c:catAx>
        <c:axId val="102620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18399"/>
        <c:crosses val="autoZero"/>
        <c:auto val="0"/>
        <c:lblAlgn val="ctr"/>
        <c:lblOffset val="100"/>
        <c:noMultiLvlLbl val="0"/>
      </c:catAx>
      <c:valAx>
        <c:axId val="10262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(g)</a:t>
                </a:r>
              </a:p>
            </c:rich>
          </c:tx>
          <c:layout>
            <c:manualLayout>
              <c:xMode val="edge"/>
              <c:yMode val="edge"/>
              <c:x val="1.6635983734399371E-2"/>
              <c:y val="0.38706686494081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2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Total Phenols 25-26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Total Phenols 25-26</a:t>
          </a:r>
        </a:p>
      </cx:txPr>
    </cx:title>
    <cx:plotArea>
      <cx:plotAreaRegion>
        <cx:series layoutId="boxWhisker" uniqueId="{3DD4E5C1-185C-4B4B-9E49-CA755A2F8671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 GAE/100 g </a:t>
                </a: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fresh sample</a:t>
                </a:r>
                <a:endPara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Vitamin C 25-26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Vitamin C 25-26</a:t>
          </a:r>
        </a:p>
      </cx:txPr>
    </cx:title>
    <cx:plotArea>
      <cx:plotAreaRegion>
        <cx:series layoutId="boxWhisker" uniqueId="{00000000-37DE-49B7-A3F6-09C49EEE13BB}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mg/100 g </a:t>
                </a: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fresh sample</a:t>
                </a:r>
                <a:endPara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bg2">
                    <a:lumMod val="25000"/>
                  </a:schemeClr>
                </a:solidFill>
              </a:defRPr>
            </a:pPr>
            <a:r>
              <a:rPr lang="de-DE" sz="1800" b="0" i="0" baseline="0">
                <a:solidFill>
                  <a:schemeClr val="bg2">
                    <a:lumMod val="25000"/>
                  </a:schemeClr>
                </a:solidFill>
                <a:effectLst/>
              </a:rPr>
              <a:t>Vitamin C 25-26</a:t>
            </a:r>
            <a:endParaRPr lang="de-DE" sz="2000">
              <a:solidFill>
                <a:schemeClr val="bg2">
                  <a:lumMod val="25000"/>
                </a:schemeClr>
              </a:solidFill>
              <a:effectLst/>
            </a:endParaRPr>
          </a:p>
        </cx:rich>
      </cx:tx>
    </cx:title>
    <cx:plotArea>
      <cx:plotAreaRegion>
        <cx:series layoutId="boxWhisker" uniqueId="{00000001-C5FD-4819-89FD-DBA88DD58817}" formatIdx="1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mg/100 g </a:t>
                </a: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ChlM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ChlM</a:t>
          </a:r>
        </a:p>
      </cx:txPr>
    </cx:title>
    <cx:plotArea>
      <cx:plotAreaRegion>
        <cx:series layoutId="boxWhisker" uniqueId="{00000000-8DEA-49C9-876B-AA44CBE6756A}"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  <cx:numFmt formatCode="0.0" sourceLinked="0"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FlvM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FlvM</a:t>
          </a:r>
        </a:p>
      </cx:txPr>
    </cx:title>
    <cx:plotArea>
      <cx:plotAreaRegion>
        <cx:series layoutId="boxWhisker" uniqueId="{00000000-CF34-4A47-BC67-A2C907C7EC67}">
          <cx:spPr>
            <a:solidFill>
              <a:srgbClr val="FFC000"/>
            </a:solidFill>
            <a:ln>
              <a:solidFill>
                <a:schemeClr val="accent2"/>
              </a:solidFill>
            </a:ln>
          </cx:spPr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  <cx:numFmt formatCode="0.0" sourceLinked="0"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_xlchart.v1.20</cx:f>
      </cx:numDim>
    </cx:data>
  </cx:chartData>
  <cx:chart>
    <cx:title pos="t" align="ctr" overlay="0">
      <cx:tx>
        <cx:txData>
          <cx:v>NFI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NFI</a:t>
          </a:r>
        </a:p>
      </cx:txPr>
    </cx:title>
    <cx:plotArea>
      <cx:plotAreaRegion>
        <cx:series layoutId="boxWhisker" uniqueId="{00000000-5B1C-4C20-A113-B4FEA65FD82D}" formatIdx="1">
          <cx:spPr>
            <a:solidFill>
              <a:schemeClr val="bg1">
                <a:lumMod val="7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</cx:spPr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  <cx:numFmt formatCode="0" sourceLinked="0"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title pos="t" align="ctr" overlay="0">
      <cx:tx>
        <cx:txData>
          <cx:v>Total Phenols 25-26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Total Phenols 25-26</a:t>
          </a:r>
        </a:p>
      </cx:txPr>
    </cx:title>
    <cx:plotArea>
      <cx:plotAreaRegion>
        <cx:series layoutId="boxWhisker" uniqueId="{00000001-C5FD-4819-89FD-DBA88DD58817}" formatIdx="1"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 GAE/100 g </a:t>
                </a:r>
                <a:r>
                  <a:rPr lang="de-DE" sz="9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9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Antioxidant Capacity 25-26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Antioxidant Capacity 25-26</a:t>
          </a:r>
        </a:p>
      </cx:txPr>
    </cx:title>
    <cx:plotArea>
      <cx:plotAreaRegion>
        <cx:series layoutId="boxWhisker" uniqueId="{00000000-93B0-4A74-90E2-B35333DC91A9}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mmol TAE/100 g </a:t>
                </a:r>
                <a:r>
                  <a:rPr lang="de-DE" sz="9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fresh sample</a:t>
                </a:r>
                <a:endParaRPr lang="de-DE" sz="9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.0" sourceLinked="0"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bg2">
                    <a:lumMod val="25000"/>
                  </a:schemeClr>
                </a:solidFill>
              </a:defRPr>
            </a:pPr>
            <a:r>
              <a:rPr lang="de-DE" sz="1800" b="0" i="0" baseline="0">
                <a:solidFill>
                  <a:schemeClr val="bg2">
                    <a:lumMod val="25000"/>
                  </a:schemeClr>
                </a:solidFill>
                <a:effectLst/>
              </a:rPr>
              <a:t>Antioxidant Capacity 25-26</a:t>
            </a:r>
            <a:endParaRPr lang="de-DE" sz="2000">
              <a:solidFill>
                <a:schemeClr val="bg2">
                  <a:lumMod val="25000"/>
                </a:schemeClr>
              </a:solidFill>
              <a:effectLst/>
            </a:endParaRPr>
          </a:p>
        </cx:rich>
      </cx:tx>
    </cx:title>
    <cx:plotArea>
      <cx:plotAreaRegion>
        <cx:series layoutId="boxWhisker" uniqueId="{00000001-C5FD-4819-89FD-DBA88DD58817}" formatIdx="1">
          <cx:tx>
            <cx:txData>
              <cx:f>_xlchart.v1.23</cx:f>
              <cx:v/>
            </cx:txData>
          </cx:tx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mmol TAE/100 g </a:t>
                </a:r>
                <a:r>
                  <a:rPr lang="de-DE" sz="9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9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txData>
          <cx:v>Water Content 25-26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Water Content 25-26</a:t>
          </a:r>
        </a:p>
      </cx:txPr>
    </cx:title>
    <cx:plotArea>
      <cx:plotAreaRegion>
        <cx:series layoutId="boxWhisker" uniqueId="{00000000-37DE-49B7-A3F6-09C49EEE13BB}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% of weight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% of weight</a:t>
              </a:r>
            </a:p>
          </cx:txPr>
        </cx:title>
        <cx:majorGridlines/>
        <cx:minorGridlines/>
        <cx:tickLabels/>
        <cx:numFmt formatCode="0%" sourceLinked="0"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txData>
          <cx:v>Minerals 25-26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Minerals 25-26</a:t>
          </a:r>
        </a:p>
      </cx:txPr>
    </cx:title>
    <cx:plotArea>
      <cx:plotAreaRegion>
        <cx:series layoutId="boxWhisker" uniqueId="{00000000-37DE-49B7-A3F6-09C49EEE13BB}">
          <cx:tx>
            <cx:txData>
              <cx:f>_xlchart.v1.17</cx:f>
              <cx:v>Minerals (% of weight)</cx:v>
            </cx:txData>
          </cx:tx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% of weight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% of weight</a:t>
              </a:r>
            </a:p>
          </cx:txPr>
        </cx:title>
        <cx:majorGridlines/>
        <cx:minorGridlines/>
        <cx:tickLabels/>
        <cx:numFmt formatCode="0.00%" sourceLinked="0"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_xlchart.v1.28</cx:f>
      </cx:numDim>
    </cx:data>
  </cx:chartData>
  <cx:chart>
    <cx:title pos="t" align="ctr" overlay="0">
      <cx:tx>
        <cx:txData>
          <cx:v>Size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Size</a:t>
          </a:r>
        </a:p>
      </cx:txPr>
    </cx:title>
    <cx:plotArea>
      <cx:plotAreaRegion>
        <cx:series layoutId="boxWhisker" uniqueId="{00000000-37DE-49B7-A3F6-09C49EEE13BB}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Ø (mm)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Ø (mm)</a:t>
              </a:r>
            </a:p>
          </cx:txPr>
        </cx:title>
        <cx:majorGridlines/>
        <cx:minorGridlines/>
        <cx:tickLabels/>
        <cx:numFmt formatCode="0" sourceLinked="0"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_xlchart.v1.29</cx:f>
      </cx:strDim>
      <cx:numDim type="val">
        <cx:f>_xlchart.v1.30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bg2">
                    <a:lumMod val="25000"/>
                  </a:schemeClr>
                </a:solidFill>
              </a:defRPr>
            </a:pPr>
            <a:r>
              <a:rPr lang="de-DE" sz="1800" b="0" i="0" baseline="0">
                <a:solidFill>
                  <a:schemeClr val="bg2">
                    <a:lumMod val="25000"/>
                  </a:schemeClr>
                </a:solidFill>
                <a:effectLst/>
              </a:rPr>
              <a:t>Weight</a:t>
            </a:r>
            <a:endParaRPr lang="de-DE" sz="2000">
              <a:solidFill>
                <a:schemeClr val="bg2">
                  <a:lumMod val="25000"/>
                </a:schemeClr>
              </a:solidFill>
              <a:effectLst/>
            </a:endParaRPr>
          </a:p>
        </cx:rich>
      </cx:tx>
    </cx:title>
    <cx:plotArea>
      <cx:plotAreaRegion>
        <cx:series layoutId="boxWhisker" uniqueId="{00000001-C5FD-4819-89FD-DBA88DD58817}" formatIdx="1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 (g)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 (g)</a:t>
              </a:r>
            </a:p>
          </cx:txPr>
        </cx:title>
        <cx:majorGridlines/>
        <cx:minorGridlines/>
        <cx:tickLabels/>
        <cx:numFmt formatCode="0" sourceLinked="0"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</cx:chartData>
  <cx:chart>
    <cx:title pos="t" align="ctr" overlay="0">
      <cx:tx>
        <cx:txData>
          <cx:v>Water Content 25-26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Water Content 25-26</a:t>
          </a:r>
        </a:p>
      </cx:txPr>
    </cx:title>
    <cx:plotArea>
      <cx:plotAreaRegion>
        <cx:series layoutId="boxWhisker" uniqueId="{00000000-37DE-49B7-A3F6-09C49EEE13BB}">
          <cx:tx>
            <cx:txData>
              <cx:f>_xlchart.v1.25</cx:f>
              <cx:v>umgerechnete °Brix </cx:v>
            </cx:txData>
          </cx:tx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% of weight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% of weight</a:t>
              </a:r>
            </a:p>
          </cx:txPr>
        </cx:title>
        <cx:majorGridlines/>
        <cx:minorGridlines/>
        <cx:tickLabels/>
        <cx:numFmt formatCode="0%" sourceLinked="0"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</cx:f>
      </cx:strDim>
      <cx:numDim type="val">
        <cx:f>_xlchart.v1.38</cx:f>
      </cx:numDim>
    </cx:data>
  </cx:chartData>
  <cx:chart>
    <cx:title pos="t" align="ctr" overlay="0">
      <cx:tx>
        <cx:txData>
          <cx:v>Total Phenols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Total Phenols</a:t>
          </a:r>
        </a:p>
      </cx:txPr>
    </cx:title>
    <cx:plotArea>
      <cx:plotAreaRegion>
        <cx:series layoutId="boxWhisker" uniqueId="{3DD4E5C1-185C-4B4B-9E49-CA755A2F8671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 GAE/100 g </a:t>
                </a: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fresh sample</a:t>
                </a:r>
                <a:endPara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val">
        <cx:f>_xlchart.v1.34</cx:f>
      </cx:numDim>
    </cx:data>
  </cx:chartData>
  <cx:chart>
    <cx:title pos="t" align="ctr" overlay="0">
      <cx:tx>
        <cx:txData>
          <cx:v>Vitamin 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Vitamin C</a:t>
          </a:r>
        </a:p>
      </cx:txPr>
    </cx:title>
    <cx:plotArea>
      <cx:plotAreaRegion>
        <cx:series layoutId="boxWhisker" uniqueId="{00000000-37DE-49B7-A3F6-09C49EEE13BB}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mg/100 g </a:t>
                </a: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fresh sample</a:t>
                </a:r>
                <a:endPara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</cx:f>
      </cx:strDim>
      <cx:numDim type="val">
        <cx:f>_xlchart.v1.52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bg2">
                    <a:lumMod val="25000"/>
                  </a:schemeClr>
                </a:solidFill>
              </a:defRPr>
            </a:pPr>
            <a:r>
              <a:rPr lang="de-DE" sz="1800" b="0" i="0" baseline="0">
                <a:solidFill>
                  <a:schemeClr val="bg2">
                    <a:lumMod val="25000"/>
                  </a:schemeClr>
                </a:solidFill>
                <a:effectLst/>
              </a:rPr>
              <a:t>Vitamin C</a:t>
            </a:r>
            <a:endParaRPr lang="de-DE" sz="2000">
              <a:solidFill>
                <a:schemeClr val="bg2">
                  <a:lumMod val="25000"/>
                </a:schemeClr>
              </a:solidFill>
              <a:effectLst/>
            </a:endParaRPr>
          </a:p>
        </cx:rich>
      </cx:tx>
    </cx:title>
    <cx:plotArea>
      <cx:plotAreaRegion>
        <cx:series layoutId="boxWhisker" uniqueId="{00000001-C5FD-4819-89FD-DBA88DD58817}" formatIdx="1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mg/100 g </a:t>
                </a: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_xlchart.v1.53</cx:f>
      </cx:strDim>
      <cx:numDim type="val">
        <cx:f>_xlchart.v1.54</cx:f>
      </cx:numDim>
    </cx:data>
  </cx:chartData>
  <cx:chart>
    <cx:title pos="t" align="ctr" overlay="0">
      <cx:tx>
        <cx:txData>
          <cx:v>ChlM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ChlM</a:t>
          </a:r>
        </a:p>
      </cx:txPr>
    </cx:title>
    <cx:plotArea>
      <cx:plotAreaRegion>
        <cx:series layoutId="boxWhisker" uniqueId="{00000000-8DEA-49C9-876B-AA44CBE6756A}"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  <cx:numFmt formatCode="0.0" sourceLinked="0"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_xlchart.v1.40</cx:f>
      </cx:numDim>
    </cx:data>
  </cx:chartData>
  <cx:chart>
    <cx:title pos="t" align="ctr" overlay="0">
      <cx:tx>
        <cx:txData>
          <cx:v>FlvM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FlvM</a:t>
          </a:r>
        </a:p>
      </cx:txPr>
    </cx:title>
    <cx:plotArea>
      <cx:plotAreaRegion>
        <cx:series layoutId="boxWhisker" uniqueId="{00000000-CF34-4A47-BC67-A2C907C7EC67}">
          <cx:spPr>
            <a:solidFill>
              <a:srgbClr val="FFC000"/>
            </a:solidFill>
            <a:ln>
              <a:solidFill>
                <a:schemeClr val="accent2"/>
              </a:solidFill>
            </a:ln>
          </cx:spPr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  <cx:numFmt formatCode="0.0" sourceLinked="0"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_xlchart.v1.47</cx:f>
      </cx:strDim>
      <cx:numDim type="val">
        <cx:f>_xlchart.v1.48</cx:f>
      </cx:numDim>
    </cx:data>
  </cx:chartData>
  <cx:chart>
    <cx:title pos="t" align="ctr" overlay="0">
      <cx:tx>
        <cx:txData>
          <cx:v>NFI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NFI</a:t>
          </a:r>
        </a:p>
      </cx:txPr>
    </cx:title>
    <cx:plotArea>
      <cx:plotAreaRegion>
        <cx:series layoutId="boxWhisker" uniqueId="{00000000-5B1C-4C20-A113-B4FEA65FD82D}" formatIdx="1">
          <cx:spPr>
            <a:solidFill>
              <a:schemeClr val="bg1">
                <a:lumMod val="7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</cx:spPr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  <cx:numFmt formatCode="0" sourceLinked="0"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_xlchart.v1.49</cx:f>
      </cx:strDim>
      <cx:numDim type="val">
        <cx:f>_xlchart.v1.50</cx:f>
      </cx:numDim>
    </cx:data>
  </cx:chartData>
  <cx:chart>
    <cx:title pos="t" align="ctr" overlay="0">
      <cx:tx>
        <cx:txData>
          <cx:v>Total Phenols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Total Phenols</a:t>
          </a:r>
        </a:p>
      </cx:txPr>
    </cx:title>
    <cx:plotArea>
      <cx:plotAreaRegion>
        <cx:series layoutId="boxWhisker" uniqueId="{00000001-C5FD-4819-89FD-DBA88DD58817}" formatIdx="1">
          <cx:dataId val="0"/>
          <cx:layoutPr>
            <cx:visibility meanMarker="1"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mg GAE/100 g </a:t>
                </a:r>
                <a:r>
                  <a:rPr lang="de-DE" sz="9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9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</cx:f>
      </cx:strDim>
      <cx:numDim type="val">
        <cx:f>_xlchart.v1.36</cx:f>
      </cx:numDim>
    </cx:data>
  </cx:chartData>
  <cx:chart>
    <cx:title pos="t" align="ctr" overlay="0">
      <cx:tx>
        <cx:txData>
          <cx:v>Antioxidant Capacity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Antioxidant Capacity</a:t>
          </a:r>
        </a:p>
      </cx:txPr>
    </cx:title>
    <cx:plotArea>
      <cx:plotAreaRegion>
        <cx:series layoutId="boxWhisker" uniqueId="{00000000-93B0-4A74-90E2-B35333DC91A9}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mmol TAE/100 g </a:t>
                </a:r>
                <a:r>
                  <a:rPr lang="de-DE" sz="9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fresh sample</a:t>
                </a:r>
                <a:endParaRPr lang="de-DE" sz="9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.0" sourceLinked="0"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_xlchart.v1.44</cx:f>
      </cx:strDim>
      <cx:numDim type="val">
        <cx:f>_xlchart.v1.45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bg2">
                    <a:lumMod val="25000"/>
                  </a:schemeClr>
                </a:solidFill>
              </a:defRPr>
            </a:pPr>
            <a:r>
              <a:rPr lang="de-DE" sz="1800" b="0" i="0" baseline="0">
                <a:solidFill>
                  <a:schemeClr val="bg2">
                    <a:lumMod val="25000"/>
                  </a:schemeClr>
                </a:solidFill>
                <a:effectLst/>
              </a:rPr>
              <a:t>Antioxidant Capacity</a:t>
            </a:r>
            <a:endParaRPr lang="de-DE" sz="2000">
              <a:solidFill>
                <a:schemeClr val="bg2">
                  <a:lumMod val="25000"/>
                </a:schemeClr>
              </a:solidFill>
              <a:effectLst/>
            </a:endParaRPr>
          </a:p>
        </cx:rich>
      </cx:tx>
    </cx:title>
    <cx:plotArea>
      <cx:plotAreaRegion>
        <cx:series layoutId="boxWhisker" uniqueId="{00000001-C5FD-4819-89FD-DBA88DD58817}" formatIdx="1">
          <cx:tx>
            <cx:txData>
              <cx:f>_xlchart.v1.46</cx:f>
              <cx:v/>
            </cx:txData>
          </cx:tx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de-DE" sz="900" b="0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mmol TAE/100 g </a:t>
                </a:r>
                <a:r>
                  <a:rPr lang="de-DE" sz="900" b="1" i="0" u="none" strike="noStrike" cap="non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dry matter</a:t>
                </a:r>
                <a:endParaRPr lang="de-DE" sz="900" b="1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minorGridlines/>
        <cx:tickLabels/>
        <cx:numFmt formatCode="0" sourceLinked="0"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</cx:f>
      </cx:strDim>
      <cx:numDim type="val">
        <cx:f>_xlchart.v1.32</cx:f>
      </cx:numDim>
    </cx:data>
  </cx:chartData>
  <cx:chart>
    <cx:title pos="t" align="ctr" overlay="0">
      <cx:tx>
        <cx:txData>
          <cx:v>Water Content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Water Content</a:t>
          </a:r>
        </a:p>
      </cx:txPr>
    </cx:title>
    <cx:plotArea>
      <cx:plotAreaRegion>
        <cx:series layoutId="boxWhisker" uniqueId="{00000000-37DE-49B7-A3F6-09C49EEE13BB}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in="0.90000000000000002"/>
        <cx:title>
          <cx:tx>
            <cx:txData>
              <cx:v>% of weight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% of weight</a:t>
              </a:r>
            </a:p>
          </cx:txPr>
        </cx:title>
        <cx:majorGridlines/>
        <cx:minorGridlines/>
        <cx:tickLabels/>
        <cx:numFmt formatCode="0%" sourceLinked="0"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_xlchart.v1.41</cx:f>
      </cx:strDim>
      <cx:numDim type="val">
        <cx:f>_xlchart.v1.43</cx:f>
      </cx:numDim>
    </cx:data>
  </cx:chartData>
  <cx:chart>
    <cx:title pos="t" align="ctr" overlay="0">
      <cx:tx>
        <cx:txData>
          <cx:v>Minerals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Minerals</a:t>
          </a:r>
        </a:p>
      </cx:txPr>
    </cx:title>
    <cx:plotArea>
      <cx:plotAreaRegion>
        <cx:series layoutId="boxWhisker" uniqueId="{00000000-37DE-49B7-A3F6-09C49EEE13BB}">
          <cx:tx>
            <cx:txData>
              <cx:f>_xlchart.v1.42</cx:f>
              <cx:v>Minerals (% of weight)</cx:v>
            </cx:txData>
          </cx:tx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0.0060000000000000019" min="0.0030000000000000009"/>
        <cx:title>
          <cx:tx>
            <cx:txData>
              <cx:v>% of weight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% of weight</a:t>
              </a:r>
            </a:p>
          </cx:txPr>
        </cx:title>
        <cx:majorGridlines/>
        <cx:minorGridlines/>
        <cx:tickLabels/>
        <cx:numFmt formatCode="0.00%" sourceLinked="0"/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_xlchart.v1.55</cx:f>
      </cx:strDim>
      <cx:numDim type="val">
        <cx:f>_xlchart.v1.56</cx:f>
      </cx:numDim>
    </cx:data>
  </cx:chartData>
  <cx:chart>
    <cx:title pos="t" align="ctr" overlay="0">
      <cx:tx>
        <cx:txData>
          <cx:v>Size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Size</a:t>
          </a:r>
        </a:p>
      </cx:txPr>
    </cx:title>
    <cx:plotArea>
      <cx:plotAreaRegion>
        <cx:series layoutId="boxWhisker" uniqueId="{00000000-37DE-49B7-A3F6-09C49EEE13BB}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Ø (mm)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Ø (mm)</a:t>
              </a:r>
            </a:p>
          </cx:txPr>
        </cx:title>
        <cx:majorGridlines/>
        <cx:minorGridlines/>
        <cx:tickLabels/>
        <cx:numFmt formatCode="0" sourceLinked="0"/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</cx:f>
      </cx:strDim>
      <cx:numDim type="val">
        <cx:f>_xlchart.v1.58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solidFill>
                  <a:schemeClr val="bg2">
                    <a:lumMod val="25000"/>
                  </a:schemeClr>
                </a:solidFill>
              </a:defRPr>
            </a:pPr>
            <a:r>
              <a:rPr lang="de-DE" sz="1800" b="0" i="0" baseline="0">
                <a:solidFill>
                  <a:schemeClr val="bg2">
                    <a:lumMod val="25000"/>
                  </a:schemeClr>
                </a:solidFill>
                <a:effectLst/>
              </a:rPr>
              <a:t>Weight</a:t>
            </a:r>
            <a:endParaRPr lang="de-DE" sz="2000">
              <a:solidFill>
                <a:schemeClr val="bg2">
                  <a:lumMod val="25000"/>
                </a:schemeClr>
              </a:solidFill>
              <a:effectLst/>
            </a:endParaRPr>
          </a:p>
        </cx:rich>
      </cx:tx>
    </cx:title>
    <cx:plotArea>
      <cx:plotAreaRegion>
        <cx:series layoutId="boxWhisker" uniqueId="{00000001-C5FD-4819-89FD-DBA88DD58817}" formatIdx="1">
          <cx:dataId val="0"/>
          <cx:layoutPr>
            <cx:visibility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 (g)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cap="non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 (g)</a:t>
              </a:r>
            </a:p>
          </cx:txPr>
        </cx:title>
        <cx:majorGridlines/>
        <cx:minorGridlines/>
        <cx:tickLabels/>
        <cx:numFmt formatCode="0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openxmlformats.org/officeDocument/2006/relationships/chart" Target="../charts/chart3.xml"/><Relationship Id="rId18" Type="http://schemas.openxmlformats.org/officeDocument/2006/relationships/chart" Target="../charts/chart7.xml"/><Relationship Id="rId3" Type="http://schemas.microsoft.com/office/2014/relationships/chartEx" Target="../charts/chartEx3.xml"/><Relationship Id="rId21" Type="http://schemas.microsoft.com/office/2014/relationships/chartEx" Target="../charts/chartEx13.xml"/><Relationship Id="rId7" Type="http://schemas.microsoft.com/office/2014/relationships/chartEx" Target="../charts/chartEx7.xml"/><Relationship Id="rId12" Type="http://schemas.microsoft.com/office/2014/relationships/chartEx" Target="../charts/chartEx10.xml"/><Relationship Id="rId17" Type="http://schemas.openxmlformats.org/officeDocument/2006/relationships/chart" Target="../charts/chart6.xml"/><Relationship Id="rId2" Type="http://schemas.microsoft.com/office/2014/relationships/chartEx" Target="../charts/chartEx2.xml"/><Relationship Id="rId16" Type="http://schemas.openxmlformats.org/officeDocument/2006/relationships/chart" Target="../charts/chart5.xml"/><Relationship Id="rId20" Type="http://schemas.microsoft.com/office/2014/relationships/chartEx" Target="../charts/chartEx1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openxmlformats.org/officeDocument/2006/relationships/chart" Target="../charts/chart2.xml"/><Relationship Id="rId24" Type="http://schemas.microsoft.com/office/2014/relationships/chartEx" Target="../charts/chartEx14.xml"/><Relationship Id="rId5" Type="http://schemas.microsoft.com/office/2014/relationships/chartEx" Target="../charts/chartEx5.xml"/><Relationship Id="rId15" Type="http://schemas.openxmlformats.org/officeDocument/2006/relationships/chart" Target="../charts/chart4.xml"/><Relationship Id="rId23" Type="http://schemas.openxmlformats.org/officeDocument/2006/relationships/chart" Target="../charts/chart10.xml"/><Relationship Id="rId10" Type="http://schemas.openxmlformats.org/officeDocument/2006/relationships/chart" Target="../charts/chart1.xml"/><Relationship Id="rId19" Type="http://schemas.openxmlformats.org/officeDocument/2006/relationships/chart" Target="../charts/chart8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1.xml"/><Relationship Id="rId22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22.xml"/><Relationship Id="rId13" Type="http://schemas.openxmlformats.org/officeDocument/2006/relationships/chart" Target="../charts/chart21.xml"/><Relationship Id="rId18" Type="http://schemas.openxmlformats.org/officeDocument/2006/relationships/chart" Target="../charts/chart25.xml"/><Relationship Id="rId3" Type="http://schemas.microsoft.com/office/2014/relationships/chartEx" Target="../charts/chartEx17.xml"/><Relationship Id="rId21" Type="http://schemas.microsoft.com/office/2014/relationships/chartEx" Target="../charts/chartEx27.xml"/><Relationship Id="rId7" Type="http://schemas.microsoft.com/office/2014/relationships/chartEx" Target="../charts/chartEx21.xml"/><Relationship Id="rId12" Type="http://schemas.microsoft.com/office/2014/relationships/chartEx" Target="../charts/chartEx24.xml"/><Relationship Id="rId17" Type="http://schemas.openxmlformats.org/officeDocument/2006/relationships/chart" Target="../charts/chart24.xml"/><Relationship Id="rId2" Type="http://schemas.microsoft.com/office/2014/relationships/chartEx" Target="../charts/chartEx16.xml"/><Relationship Id="rId16" Type="http://schemas.openxmlformats.org/officeDocument/2006/relationships/chart" Target="../charts/chart23.xml"/><Relationship Id="rId20" Type="http://schemas.microsoft.com/office/2014/relationships/chartEx" Target="../charts/chartEx26.xml"/><Relationship Id="rId1" Type="http://schemas.microsoft.com/office/2014/relationships/chartEx" Target="../charts/chartEx15.xml"/><Relationship Id="rId6" Type="http://schemas.microsoft.com/office/2014/relationships/chartEx" Target="../charts/chartEx20.xml"/><Relationship Id="rId11" Type="http://schemas.openxmlformats.org/officeDocument/2006/relationships/chart" Target="../charts/chart20.xml"/><Relationship Id="rId5" Type="http://schemas.microsoft.com/office/2014/relationships/chartEx" Target="../charts/chartEx19.xml"/><Relationship Id="rId15" Type="http://schemas.openxmlformats.org/officeDocument/2006/relationships/chart" Target="../charts/chart22.xml"/><Relationship Id="rId23" Type="http://schemas.openxmlformats.org/officeDocument/2006/relationships/chart" Target="../charts/chart28.xml"/><Relationship Id="rId10" Type="http://schemas.openxmlformats.org/officeDocument/2006/relationships/chart" Target="../charts/chart19.xml"/><Relationship Id="rId19" Type="http://schemas.openxmlformats.org/officeDocument/2006/relationships/chart" Target="../charts/chart26.xml"/><Relationship Id="rId4" Type="http://schemas.microsoft.com/office/2014/relationships/chartEx" Target="../charts/chartEx18.xml"/><Relationship Id="rId9" Type="http://schemas.microsoft.com/office/2014/relationships/chartEx" Target="../charts/chartEx23.xml"/><Relationship Id="rId14" Type="http://schemas.microsoft.com/office/2014/relationships/chartEx" Target="../charts/chartEx25.xml"/><Relationship Id="rId2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33617</xdr:colOff>
      <xdr:row>75</xdr:row>
      <xdr:rowOff>27621</xdr:rowOff>
    </xdr:from>
    <xdr:to>
      <xdr:col>10</xdr:col>
      <xdr:colOff>386042</xdr:colOff>
      <xdr:row>92</xdr:row>
      <xdr:rowOff>179069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B60114A0-D8E8-4ABD-BC8A-0CF8B154EF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0977" y="14383701"/>
              <a:ext cx="2729865" cy="3260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28575</xdr:colOff>
      <xdr:row>75</xdr:row>
      <xdr:rowOff>43815</xdr:rowOff>
    </xdr:from>
    <xdr:to>
      <xdr:col>3</xdr:col>
      <xdr:colOff>257175</xdr:colOff>
      <xdr:row>92</xdr:row>
      <xdr:rowOff>309563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0DA642BB-A613-46A6-B25F-40C03CE296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4399895"/>
              <a:ext cx="2606040" cy="33747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3</xdr:col>
      <xdr:colOff>266700</xdr:colOff>
      <xdr:row>75</xdr:row>
      <xdr:rowOff>38100</xdr:rowOff>
    </xdr:from>
    <xdr:to>
      <xdr:col>6</xdr:col>
      <xdr:colOff>386715</xdr:colOff>
      <xdr:row>92</xdr:row>
      <xdr:rowOff>309563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4B8FF13F-30EC-4777-BA26-CDD4AEF1C2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4140" y="14394180"/>
              <a:ext cx="2497455" cy="33804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246529</xdr:rowOff>
    </xdr:from>
    <xdr:to>
      <xdr:col>2</xdr:col>
      <xdr:colOff>784188</xdr:colOff>
      <xdr:row>18</xdr:row>
      <xdr:rowOff>212408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19C3B39C-24DC-41F1-B760-FFC4A5455A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6529"/>
              <a:ext cx="2369148" cy="3341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4</xdr:col>
      <xdr:colOff>15689</xdr:colOff>
      <xdr:row>1</xdr:row>
      <xdr:rowOff>0</xdr:rowOff>
    </xdr:from>
    <xdr:to>
      <xdr:col>6</xdr:col>
      <xdr:colOff>720539</xdr:colOff>
      <xdr:row>18</xdr:row>
      <xdr:rowOff>227648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m 5">
              <a:extLst>
                <a:ext uri="{FF2B5EF4-FFF2-40B4-BE49-F238E27FC236}">
                  <a16:creationId xmlns:a16="http://schemas.microsoft.com/office/drawing/2014/main" id="{BEAB4BE2-C3FE-44E7-BC78-98721E9C69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5609" y="266700"/>
              <a:ext cx="2289810" cy="3336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8</xdr:col>
      <xdr:colOff>7844</xdr:colOff>
      <xdr:row>1</xdr:row>
      <xdr:rowOff>11206</xdr:rowOff>
    </xdr:from>
    <xdr:to>
      <xdr:col>10</xdr:col>
      <xdr:colOff>687929</xdr:colOff>
      <xdr:row>18</xdr:row>
      <xdr:rowOff>238854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Diagramm 6">
              <a:extLst>
                <a:ext uri="{FF2B5EF4-FFF2-40B4-BE49-F238E27FC236}">
                  <a16:creationId xmlns:a16="http://schemas.microsoft.com/office/drawing/2014/main" id="{0103F1C9-ACD0-4D29-A4AF-C3C5D5A56C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7684" y="277906"/>
              <a:ext cx="2265045" cy="3336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10</xdr:col>
      <xdr:colOff>323850</xdr:colOff>
      <xdr:row>75</xdr:row>
      <xdr:rowOff>28575</xdr:rowOff>
    </xdr:from>
    <xdr:to>
      <xdr:col>13</xdr:col>
      <xdr:colOff>727710</xdr:colOff>
      <xdr:row>92</xdr:row>
      <xdr:rowOff>183833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Diagramm 7">
              <a:extLst>
                <a:ext uri="{FF2B5EF4-FFF2-40B4-BE49-F238E27FC236}">
                  <a16:creationId xmlns:a16="http://schemas.microsoft.com/office/drawing/2014/main" id="{2ECB596E-EC55-4407-9687-621757A16E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14384655"/>
              <a:ext cx="2781300" cy="3264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75</xdr:row>
      <xdr:rowOff>22412</xdr:rowOff>
    </xdr:from>
    <xdr:to>
      <xdr:col>18</xdr:col>
      <xdr:colOff>398145</xdr:colOff>
      <xdr:row>92</xdr:row>
      <xdr:rowOff>174309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Diagramm 8">
              <a:extLst>
                <a:ext uri="{FF2B5EF4-FFF2-40B4-BE49-F238E27FC236}">
                  <a16:creationId xmlns:a16="http://schemas.microsoft.com/office/drawing/2014/main" id="{34550F0A-2FF3-4106-A309-98D33BBB3D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14378492"/>
              <a:ext cx="2775585" cy="32608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18</xdr:col>
      <xdr:colOff>466612</xdr:colOff>
      <xdr:row>75</xdr:row>
      <xdr:rowOff>22412</xdr:rowOff>
    </xdr:from>
    <xdr:to>
      <xdr:col>22</xdr:col>
      <xdr:colOff>134471</xdr:colOff>
      <xdr:row>92</xdr:row>
      <xdr:rowOff>235326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Diagramm 9">
              <a:extLst>
                <a:ext uri="{FF2B5EF4-FFF2-40B4-BE49-F238E27FC236}">
                  <a16:creationId xmlns:a16="http://schemas.microsoft.com/office/drawing/2014/main" id="{50F390CB-9A6B-4434-83C7-F70D76AE40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1252" y="14378492"/>
              <a:ext cx="2837779" cy="3321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132397</xdr:colOff>
      <xdr:row>20</xdr:row>
      <xdr:rowOff>172402</xdr:rowOff>
    </xdr:from>
    <xdr:to>
      <xdr:col>7</xdr:col>
      <xdr:colOff>323073</xdr:colOff>
      <xdr:row>35</xdr:row>
      <xdr:rowOff>58102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5CDB6411-DB5D-4D75-9176-3D70E52F2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476252</xdr:colOff>
      <xdr:row>21</xdr:row>
      <xdr:rowOff>1905</xdr:rowOff>
    </xdr:from>
    <xdr:to>
      <xdr:col>14</xdr:col>
      <xdr:colOff>666929</xdr:colOff>
      <xdr:row>35</xdr:row>
      <xdr:rowOff>78105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93A20FF1-FAD9-4AF3-A1EC-1B029CA4B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46729</xdr:colOff>
      <xdr:row>40</xdr:row>
      <xdr:rowOff>9748</xdr:rowOff>
    </xdr:from>
    <xdr:to>
      <xdr:col>3</xdr:col>
      <xdr:colOff>275329</xdr:colOff>
      <xdr:row>54</xdr:row>
      <xdr:rowOff>11205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Diagramm 12">
              <a:extLst>
                <a:ext uri="{FF2B5EF4-FFF2-40B4-BE49-F238E27FC236}">
                  <a16:creationId xmlns:a16="http://schemas.microsoft.com/office/drawing/2014/main" id="{FCE6EF83-2497-44BB-AF50-5CB2F50056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29" y="7812628"/>
              <a:ext cx="2606040" cy="25617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15</xdr:col>
      <xdr:colOff>117665</xdr:colOff>
      <xdr:row>21</xdr:row>
      <xdr:rowOff>7844</xdr:rowOff>
    </xdr:from>
    <xdr:to>
      <xdr:col>22</xdr:col>
      <xdr:colOff>310247</xdr:colOff>
      <xdr:row>35</xdr:row>
      <xdr:rowOff>84044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67B5FB4D-924B-46EA-B229-606146999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9531</xdr:colOff>
      <xdr:row>39</xdr:row>
      <xdr:rowOff>265579</xdr:rowOff>
    </xdr:from>
    <xdr:to>
      <xdr:col>7</xdr:col>
      <xdr:colOff>269843</xdr:colOff>
      <xdr:row>53</xdr:row>
      <xdr:rowOff>179293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Diagramm 14">
              <a:extLst>
                <a:ext uri="{FF2B5EF4-FFF2-40B4-BE49-F238E27FC236}">
                  <a16:creationId xmlns:a16="http://schemas.microsoft.com/office/drawing/2014/main" id="{C0598094-5EFF-4E98-AD8F-34173F3C39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9451" y="7801759"/>
              <a:ext cx="2637752" cy="25578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53340</xdr:colOff>
      <xdr:row>56</xdr:row>
      <xdr:rowOff>16921</xdr:rowOff>
    </xdr:from>
    <xdr:to>
      <xdr:col>8</xdr:col>
      <xdr:colOff>112059</xdr:colOff>
      <xdr:row>70</xdr:row>
      <xdr:rowOff>133350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CC1D268E-F9CB-4035-9590-56CA64579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242948</xdr:colOff>
      <xdr:row>56</xdr:row>
      <xdr:rowOff>22412</xdr:rowOff>
    </xdr:from>
    <xdr:to>
      <xdr:col>16</xdr:col>
      <xdr:colOff>128984</xdr:colOff>
      <xdr:row>71</xdr:row>
      <xdr:rowOff>19050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166D371C-F6E4-4C56-B138-DE0E5ECEA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22638</xdr:colOff>
      <xdr:row>96</xdr:row>
      <xdr:rowOff>0</xdr:rowOff>
    </xdr:from>
    <xdr:to>
      <xdr:col>16</xdr:col>
      <xdr:colOff>22414</xdr:colOff>
      <xdr:row>110</xdr:row>
      <xdr:rowOff>76200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4640AA04-224C-498D-B812-643944809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780379</xdr:colOff>
      <xdr:row>96</xdr:row>
      <xdr:rowOff>0</xdr:rowOff>
    </xdr:from>
    <xdr:to>
      <xdr:col>24</xdr:col>
      <xdr:colOff>22637</xdr:colOff>
      <xdr:row>110</xdr:row>
      <xdr:rowOff>76200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11209E09-E11C-462A-935D-A561A7492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96</xdr:row>
      <xdr:rowOff>0</xdr:rowOff>
    </xdr:from>
    <xdr:to>
      <xdr:col>7</xdr:col>
      <xdr:colOff>672352</xdr:colOff>
      <xdr:row>110</xdr:row>
      <xdr:rowOff>76200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53B1DCE7-E513-46FE-A630-74A8E61E7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114</xdr:row>
      <xdr:rowOff>7620</xdr:rowOff>
    </xdr:from>
    <xdr:to>
      <xdr:col>3</xdr:col>
      <xdr:colOff>228600</xdr:colOff>
      <xdr:row>132</xdr:row>
      <xdr:rowOff>179294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Diagramm 20">
              <a:extLst>
                <a:ext uri="{FF2B5EF4-FFF2-40B4-BE49-F238E27FC236}">
                  <a16:creationId xmlns:a16="http://schemas.microsoft.com/office/drawing/2014/main" id="{C89B773D-FF73-42C4-BAF9-3B4C1A0EB2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899880"/>
              <a:ext cx="2606040" cy="34635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4</xdr:col>
      <xdr:colOff>8517</xdr:colOff>
      <xdr:row>114</xdr:row>
      <xdr:rowOff>0</xdr:rowOff>
    </xdr:from>
    <xdr:to>
      <xdr:col>7</xdr:col>
      <xdr:colOff>126627</xdr:colOff>
      <xdr:row>133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Diagramm 21">
              <a:extLst>
                <a:ext uri="{FF2B5EF4-FFF2-40B4-BE49-F238E27FC236}">
                  <a16:creationId xmlns:a16="http://schemas.microsoft.com/office/drawing/2014/main" id="{14434630-96DB-4D4D-A586-97A5F5809D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8437" y="21892260"/>
              <a:ext cx="2495550" cy="3474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135</xdr:row>
      <xdr:rowOff>22412</xdr:rowOff>
    </xdr:from>
    <xdr:to>
      <xdr:col>8</xdr:col>
      <xdr:colOff>13111</xdr:colOff>
      <xdr:row>149</xdr:row>
      <xdr:rowOff>98612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id="{BF64BE62-9F05-4AEA-A8F9-2DEC85BB2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324971</xdr:colOff>
      <xdr:row>135</xdr:row>
      <xdr:rowOff>560</xdr:rowOff>
    </xdr:from>
    <xdr:to>
      <xdr:col>15</xdr:col>
      <xdr:colOff>506170</xdr:colOff>
      <xdr:row>149</xdr:row>
      <xdr:rowOff>76760</xdr:rowOff>
    </xdr:to>
    <xdr:graphicFrame macro="">
      <xdr:nvGraphicFramePr>
        <xdr:cNvPr id="24" name="Diagramm 23">
          <a:extLst>
            <a:ext uri="{FF2B5EF4-FFF2-40B4-BE49-F238E27FC236}">
              <a16:creationId xmlns:a16="http://schemas.microsoft.com/office/drawing/2014/main" id="{1F10A38F-B2F3-41F1-93CC-8DA061C83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31713</xdr:colOff>
      <xdr:row>40</xdr:row>
      <xdr:rowOff>0</xdr:rowOff>
    </xdr:from>
    <xdr:to>
      <xdr:col>11</xdr:col>
      <xdr:colOff>260313</xdr:colOff>
      <xdr:row>53</xdr:row>
      <xdr:rowOff>168088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Diagramm 25">
              <a:extLst>
                <a:ext uri="{FF2B5EF4-FFF2-40B4-BE49-F238E27FC236}">
                  <a16:creationId xmlns:a16="http://schemas.microsoft.com/office/drawing/2014/main" id="{227B208F-1F5B-4756-8215-25FB638186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1553" y="7802880"/>
              <a:ext cx="2606040" cy="2545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607695</xdr:colOff>
      <xdr:row>22</xdr:row>
      <xdr:rowOff>53340</xdr:rowOff>
    </xdr:from>
    <xdr:to>
      <xdr:col>7</xdr:col>
      <xdr:colOff>168088</xdr:colOff>
      <xdr:row>37</xdr:row>
      <xdr:rowOff>78105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956455B-C4EC-9085-A6AE-6F5F9EA7A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349513</xdr:colOff>
      <xdr:row>22</xdr:row>
      <xdr:rowOff>42134</xdr:rowOff>
    </xdr:from>
    <xdr:to>
      <xdr:col>13</xdr:col>
      <xdr:colOff>173691</xdr:colOff>
      <xdr:row>37</xdr:row>
      <xdr:rowOff>85949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3AE3E8C-A4E9-497B-A195-5020E0D13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158635</xdr:colOff>
      <xdr:row>38</xdr:row>
      <xdr:rowOff>62865</xdr:rowOff>
    </xdr:from>
    <xdr:to>
      <xdr:col>4</xdr:col>
      <xdr:colOff>731520</xdr:colOff>
      <xdr:row>54</xdr:row>
      <xdr:rowOff>160020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3E629222-0277-6E75-7FDC-AE46ED641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125059</xdr:colOff>
      <xdr:row>39</xdr:row>
      <xdr:rowOff>25161</xdr:rowOff>
    </xdr:from>
    <xdr:to>
      <xdr:col>15</xdr:col>
      <xdr:colOff>730848</xdr:colOff>
      <xdr:row>55</xdr:row>
      <xdr:rowOff>121624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5FB69AFA-7A74-1197-FCB5-F9BCF1732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243840</xdr:colOff>
      <xdr:row>38</xdr:row>
      <xdr:rowOff>102870</xdr:rowOff>
    </xdr:from>
    <xdr:to>
      <xdr:col>9</xdr:col>
      <xdr:colOff>372860</xdr:colOff>
      <xdr:row>55</xdr:row>
      <xdr:rowOff>19050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6C46F06-0032-456C-88F6-CFECE2CD2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493488</xdr:colOff>
      <xdr:row>11</xdr:row>
      <xdr:rowOff>101602</xdr:rowOff>
    </xdr:from>
    <xdr:to>
      <xdr:col>4</xdr:col>
      <xdr:colOff>261258</xdr:colOff>
      <xdr:row>25</xdr:row>
      <xdr:rowOff>7258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8BF4189-3374-4BF3-B6F3-A40D8275B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12</xdr:col>
      <xdr:colOff>75190</xdr:colOff>
      <xdr:row>26</xdr:row>
      <xdr:rowOff>11798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694F7D7-5431-4425-94B3-CD741F226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500742</xdr:colOff>
      <xdr:row>26</xdr:row>
      <xdr:rowOff>123370</xdr:rowOff>
    </xdr:from>
    <xdr:to>
      <xdr:col>6</xdr:col>
      <xdr:colOff>744160</xdr:colOff>
      <xdr:row>41</xdr:row>
      <xdr:rowOff>116119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F980B2DB-1F09-4B78-BABD-912598815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75</xdr:row>
      <xdr:rowOff>29526</xdr:rowOff>
    </xdr:from>
    <xdr:to>
      <xdr:col>10</xdr:col>
      <xdr:colOff>350520</xdr:colOff>
      <xdr:row>92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D49331DE-C26A-4F83-86E8-F8C5E4FB4C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7360" y="14385606"/>
              <a:ext cx="2727960" cy="3260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28575</xdr:colOff>
      <xdr:row>75</xdr:row>
      <xdr:rowOff>43815</xdr:rowOff>
    </xdr:from>
    <xdr:to>
      <xdr:col>3</xdr:col>
      <xdr:colOff>257175</xdr:colOff>
      <xdr:row>92</xdr:row>
      <xdr:rowOff>309563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3342AAE8-F665-4B59-8CE0-6794C74200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4399895"/>
              <a:ext cx="2606040" cy="33747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3</xdr:col>
      <xdr:colOff>266700</xdr:colOff>
      <xdr:row>75</xdr:row>
      <xdr:rowOff>38100</xdr:rowOff>
    </xdr:from>
    <xdr:to>
      <xdr:col>6</xdr:col>
      <xdr:colOff>386715</xdr:colOff>
      <xdr:row>92</xdr:row>
      <xdr:rowOff>309563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E7CE8FF3-0590-4F85-B12A-B2C1CF67AC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4140" y="14394180"/>
              <a:ext cx="2497455" cy="33804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66675</xdr:colOff>
      <xdr:row>0</xdr:row>
      <xdr:rowOff>246529</xdr:rowOff>
    </xdr:from>
    <xdr:to>
      <xdr:col>2</xdr:col>
      <xdr:colOff>756285</xdr:colOff>
      <xdr:row>18</xdr:row>
      <xdr:rowOff>218123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68AA44F5-EAC0-4140-921C-E0B288B874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246529"/>
              <a:ext cx="2274570" cy="3347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4</xdr:col>
      <xdr:colOff>15689</xdr:colOff>
      <xdr:row>1</xdr:row>
      <xdr:rowOff>0</xdr:rowOff>
    </xdr:from>
    <xdr:to>
      <xdr:col>6</xdr:col>
      <xdr:colOff>720539</xdr:colOff>
      <xdr:row>18</xdr:row>
      <xdr:rowOff>227648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m 5">
              <a:extLst>
                <a:ext uri="{FF2B5EF4-FFF2-40B4-BE49-F238E27FC236}">
                  <a16:creationId xmlns:a16="http://schemas.microsoft.com/office/drawing/2014/main" id="{552E4469-168E-4B41-B9A1-001322AFA3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5609" y="266700"/>
              <a:ext cx="2289810" cy="3336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8</xdr:col>
      <xdr:colOff>7844</xdr:colOff>
      <xdr:row>1</xdr:row>
      <xdr:rowOff>11206</xdr:rowOff>
    </xdr:from>
    <xdr:to>
      <xdr:col>10</xdr:col>
      <xdr:colOff>687929</xdr:colOff>
      <xdr:row>18</xdr:row>
      <xdr:rowOff>238854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Diagramm 6">
              <a:extLst>
                <a:ext uri="{FF2B5EF4-FFF2-40B4-BE49-F238E27FC236}">
                  <a16:creationId xmlns:a16="http://schemas.microsoft.com/office/drawing/2014/main" id="{046610C5-5E65-49F3-9025-FCA0819E8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7684" y="277906"/>
              <a:ext cx="2265045" cy="3336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10</xdr:col>
      <xdr:colOff>323850</xdr:colOff>
      <xdr:row>75</xdr:row>
      <xdr:rowOff>28575</xdr:rowOff>
    </xdr:from>
    <xdr:to>
      <xdr:col>13</xdr:col>
      <xdr:colOff>727710</xdr:colOff>
      <xdr:row>92</xdr:row>
      <xdr:rowOff>183833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Diagramm 7">
              <a:extLst>
                <a:ext uri="{FF2B5EF4-FFF2-40B4-BE49-F238E27FC236}">
                  <a16:creationId xmlns:a16="http://schemas.microsoft.com/office/drawing/2014/main" id="{5AF81181-8C3A-4DE0-AFFF-835D91B484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48650" y="14384655"/>
              <a:ext cx="2781300" cy="3264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75</xdr:row>
      <xdr:rowOff>28575</xdr:rowOff>
    </xdr:from>
    <xdr:to>
      <xdr:col>18</xdr:col>
      <xdr:colOff>398145</xdr:colOff>
      <xdr:row>92</xdr:row>
      <xdr:rowOff>183833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Diagramm 10">
              <a:extLst>
                <a:ext uri="{FF2B5EF4-FFF2-40B4-BE49-F238E27FC236}">
                  <a16:creationId xmlns:a16="http://schemas.microsoft.com/office/drawing/2014/main" id="{CDE30CE9-4163-404A-8101-6828FAAD08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14384655"/>
              <a:ext cx="2775585" cy="3264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18</xdr:col>
      <xdr:colOff>356234</xdr:colOff>
      <xdr:row>75</xdr:row>
      <xdr:rowOff>33339</xdr:rowOff>
    </xdr:from>
    <xdr:to>
      <xdr:col>22</xdr:col>
      <xdr:colOff>33618</xdr:colOff>
      <xdr:row>92</xdr:row>
      <xdr:rowOff>188597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Diagramm 11">
              <a:extLst>
                <a:ext uri="{FF2B5EF4-FFF2-40B4-BE49-F238E27FC236}">
                  <a16:creationId xmlns:a16="http://schemas.microsoft.com/office/drawing/2014/main" id="{417F5295-4BD4-4727-BAF6-81FD08A7A8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0874" y="14389419"/>
              <a:ext cx="2847304" cy="3264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128587</xdr:colOff>
      <xdr:row>20</xdr:row>
      <xdr:rowOff>176212</xdr:rowOff>
    </xdr:from>
    <xdr:to>
      <xdr:col>6</xdr:col>
      <xdr:colOff>128587</xdr:colOff>
      <xdr:row>35</xdr:row>
      <xdr:rowOff>61912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21BA425B-A956-7A51-0E53-3A4F2074E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304800</xdr:colOff>
      <xdr:row>21</xdr:row>
      <xdr:rowOff>0</xdr:rowOff>
    </xdr:from>
    <xdr:to>
      <xdr:col>12</xdr:col>
      <xdr:colOff>304800</xdr:colOff>
      <xdr:row>35</xdr:row>
      <xdr:rowOff>76200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3C1C4CAA-2BA8-4E65-9A4B-0CEA7A1E2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44824</xdr:colOff>
      <xdr:row>40</xdr:row>
      <xdr:rowOff>7844</xdr:rowOff>
    </xdr:from>
    <xdr:to>
      <xdr:col>3</xdr:col>
      <xdr:colOff>273424</xdr:colOff>
      <xdr:row>53</xdr:row>
      <xdr:rowOff>150719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Diagramm 14">
              <a:extLst>
                <a:ext uri="{FF2B5EF4-FFF2-40B4-BE49-F238E27FC236}">
                  <a16:creationId xmlns:a16="http://schemas.microsoft.com/office/drawing/2014/main" id="{510ED12E-865B-4933-B40A-9E97F3648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24" y="7810724"/>
              <a:ext cx="2606040" cy="2520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12</xdr:col>
      <xdr:colOff>457200</xdr:colOff>
      <xdr:row>21</xdr:row>
      <xdr:rowOff>9525</xdr:rowOff>
    </xdr:from>
    <xdr:to>
      <xdr:col>18</xdr:col>
      <xdr:colOff>457200</xdr:colOff>
      <xdr:row>35</xdr:row>
      <xdr:rowOff>85725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4C6C73ED-E4E4-4B2E-A58B-0EB63A151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549094</xdr:colOff>
      <xdr:row>39</xdr:row>
      <xdr:rowOff>265580</xdr:rowOff>
    </xdr:from>
    <xdr:to>
      <xdr:col>8</xdr:col>
      <xdr:colOff>15694</xdr:colOff>
      <xdr:row>53</xdr:row>
      <xdr:rowOff>158564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Diagramm 16">
              <a:extLst>
                <a:ext uri="{FF2B5EF4-FFF2-40B4-BE49-F238E27FC236}">
                  <a16:creationId xmlns:a16="http://schemas.microsoft.com/office/drawing/2014/main" id="{C1F7CCFA-2307-45B3-A770-A73DF9ADDE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9014" y="7801760"/>
              <a:ext cx="2636520" cy="2537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53340</xdr:colOff>
      <xdr:row>56</xdr:row>
      <xdr:rowOff>11206</xdr:rowOff>
    </xdr:from>
    <xdr:to>
      <xdr:col>6</xdr:col>
      <xdr:colOff>683559</xdr:colOff>
      <xdr:row>70</xdr:row>
      <xdr:rowOff>133350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D48425CE-303C-4B3A-AD41-C6A36229F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0</xdr:colOff>
      <xdr:row>56</xdr:row>
      <xdr:rowOff>0</xdr:rowOff>
    </xdr:from>
    <xdr:to>
      <xdr:col>13</xdr:col>
      <xdr:colOff>0</xdr:colOff>
      <xdr:row>70</xdr:row>
      <xdr:rowOff>156882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CE53965C-C590-4F9E-B7B5-73812C1AD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11206</xdr:colOff>
      <xdr:row>96</xdr:row>
      <xdr:rowOff>0</xdr:rowOff>
    </xdr:from>
    <xdr:to>
      <xdr:col>15</xdr:col>
      <xdr:colOff>22412</xdr:colOff>
      <xdr:row>110</xdr:row>
      <xdr:rowOff>76200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9D490CEF-88A9-439A-B888-FEB72C08B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0</xdr:colOff>
      <xdr:row>96</xdr:row>
      <xdr:rowOff>0</xdr:rowOff>
    </xdr:from>
    <xdr:to>
      <xdr:col>23</xdr:col>
      <xdr:colOff>11206</xdr:colOff>
      <xdr:row>110</xdr:row>
      <xdr:rowOff>76200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3C14F2E-A477-47F4-BE85-E116DAAFB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96</xdr:row>
      <xdr:rowOff>0</xdr:rowOff>
    </xdr:from>
    <xdr:to>
      <xdr:col>6</xdr:col>
      <xdr:colOff>705971</xdr:colOff>
      <xdr:row>110</xdr:row>
      <xdr:rowOff>76200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D700B9E0-8E0F-4153-864C-17337B02F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114</xdr:row>
      <xdr:rowOff>7620</xdr:rowOff>
    </xdr:from>
    <xdr:to>
      <xdr:col>3</xdr:col>
      <xdr:colOff>228600</xdr:colOff>
      <xdr:row>132</xdr:row>
      <xdr:rowOff>179294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Diagramm 20">
              <a:extLst>
                <a:ext uri="{FF2B5EF4-FFF2-40B4-BE49-F238E27FC236}">
                  <a16:creationId xmlns:a16="http://schemas.microsoft.com/office/drawing/2014/main" id="{8508E737-9565-427E-97EB-61E8016230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899880"/>
              <a:ext cx="2606040" cy="34635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4</xdr:col>
      <xdr:colOff>8517</xdr:colOff>
      <xdr:row>114</xdr:row>
      <xdr:rowOff>0</xdr:rowOff>
    </xdr:from>
    <xdr:to>
      <xdr:col>7</xdr:col>
      <xdr:colOff>126627</xdr:colOff>
      <xdr:row>133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Diagramm 21">
              <a:extLst>
                <a:ext uri="{FF2B5EF4-FFF2-40B4-BE49-F238E27FC236}">
                  <a16:creationId xmlns:a16="http://schemas.microsoft.com/office/drawing/2014/main" id="{F422B3FE-B8EE-47C9-9696-E9C9A39132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8437" y="21892260"/>
              <a:ext cx="2495550" cy="3474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135</xdr:row>
      <xdr:rowOff>0</xdr:rowOff>
    </xdr:from>
    <xdr:to>
      <xdr:col>8</xdr:col>
      <xdr:colOff>11206</xdr:colOff>
      <xdr:row>149</xdr:row>
      <xdr:rowOff>76200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id="{23B98F6A-699F-4DB3-B88B-7E49AA88C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726142</xdr:colOff>
      <xdr:row>135</xdr:row>
      <xdr:rowOff>560</xdr:rowOff>
    </xdr:from>
    <xdr:to>
      <xdr:col>15</xdr:col>
      <xdr:colOff>504265</xdr:colOff>
      <xdr:row>149</xdr:row>
      <xdr:rowOff>76760</xdr:rowOff>
    </xdr:to>
    <xdr:graphicFrame macro="">
      <xdr:nvGraphicFramePr>
        <xdr:cNvPr id="24" name="Diagramm 23">
          <a:extLst>
            <a:ext uri="{FF2B5EF4-FFF2-40B4-BE49-F238E27FC236}">
              <a16:creationId xmlns:a16="http://schemas.microsoft.com/office/drawing/2014/main" id="{7EA244E7-CB30-4254-86DE-EF8D3B3AF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jia Liao" refreshedDate="46184.557233449072" createdVersion="8" refreshedVersion="8" minRefreshableVersion="3" recordCount="128" xr:uid="{99B684C9-C85E-4C98-BE12-8E6F9D322F3A}">
  <cacheSource type="worksheet">
    <worksheetSource name="Tabelle2"/>
  </cacheSource>
  <cacheFields count="20">
    <cacheField name="Sample No." numFmtId="0">
      <sharedItems/>
    </cacheField>
    <cacheField name="Variety" numFmtId="0">
      <sharedItems containsBlank="1" count="3">
        <s v="Strabelina "/>
        <s v="Shivious "/>
        <m u="1"/>
      </sharedItems>
    </cacheField>
    <cacheField name="Block" numFmtId="0">
      <sharedItems/>
    </cacheField>
    <cacheField name="Row" numFmtId="0">
      <sharedItems containsSemiMixedTypes="0" containsString="0" containsNumber="1" containsInteger="1" minValue="2012" maxValue="2034"/>
    </cacheField>
    <cacheField name="Date" numFmtId="165">
      <sharedItems containsSemiMixedTypes="0" containsNonDate="0" containsDate="1" containsString="0" minDate="2025-08-07T00:00:00" maxDate="2026-05-27T00:00:00" count="16">
        <d v="2025-08-07T00:00:00"/>
        <d v="2025-08-21T00:00:00"/>
        <d v="2025-09-04T00:00:00"/>
        <d v="2025-09-18T00:00:00"/>
        <d v="2025-10-02T00:00:00"/>
        <d v="2025-10-16T00:00:00"/>
        <d v="2025-10-30T00:00:00"/>
        <d v="2025-11-13T00:00:00"/>
        <d v="2025-11-27T00:00:00"/>
        <d v="2026-02-19T00:00:00"/>
        <d v="2026-03-05T00:00:00"/>
        <d v="2026-03-19T00:00:00"/>
        <d v="2026-04-02T00:00:00"/>
        <d v="2026-04-16T00:00:00"/>
        <d v="2026-04-29T00:00:00"/>
        <d v="2026-05-26T00:00:00"/>
      </sharedItems>
    </cacheField>
    <cacheField name="ChlM" numFmtId="0">
      <sharedItems containsString="0" containsBlank="1" containsNumber="1" minValue="0.435" maxValue="1.3666666666666665"/>
    </cacheField>
    <cacheField name="FlvM" numFmtId="0">
      <sharedItems containsString="0" containsBlank="1" containsNumber="1" minValue="0.05" maxValue="0.21666666666666667"/>
    </cacheField>
    <cacheField name="AnthM" numFmtId="0">
      <sharedItems containsString="0" containsBlank="1" containsNumber="1" minValue="3.3333333333333335E-3" maxValue="7.6666666666666675E-2"/>
    </cacheField>
    <cacheField name="NFI" numFmtId="0">
      <sharedItems containsString="0" containsBlank="1" containsNumber="1" minValue="2.5866666666666664" maxValue="15.39"/>
    </cacheField>
    <cacheField name="Water Content (% of weight)" numFmtId="10">
      <sharedItems containsSemiMixedTypes="0" containsString="0" containsNumber="1" minValue="0.88600000000000001" maxValue="0.96379999999999999"/>
    </cacheField>
    <cacheField name="umgerechnete °Brix " numFmtId="10">
      <sharedItems containsSemiMixedTypes="0" containsString="0" containsNumber="1" minValue="2.1720000000000007E-2" maxValue="6.8399999999999989E-2"/>
    </cacheField>
    <cacheField name="Minerals (% of weight)" numFmtId="10">
      <sharedItems containsSemiMixedTypes="0" containsString="0" containsNumber="1" minValue="2.5012118274347658E-3" maxValue="8.0498118477711142E-3"/>
    </cacheField>
    <cacheField name="Size Ø (mm)" numFmtId="2">
      <sharedItems containsString="0" containsBlank="1" containsNumber="1" minValue="28.925000000000001" maxValue="46.974999999999994"/>
    </cacheField>
    <cacheField name="Weight (g)" numFmtId="2">
      <sharedItems containsString="0" containsBlank="1" containsNumber="1" minValue="11.495000000000001" maxValue="47.125"/>
    </cacheField>
    <cacheField name="Vitamin C – Fresh Sample (mg/100 g)" numFmtId="2">
      <sharedItems containsSemiMixedTypes="0" containsString="0" containsNumber="1" minValue="16.000000127724242" maxValue="188.21429290090288"/>
    </cacheField>
    <cacheField name="Vitamin C – Dry Matter (mg/100 g)" numFmtId="2">
      <sharedItems containsSemiMixedTypes="0" containsString="0" containsNumber="1" minValue="250.35233940332552" maxValue="2922.5821879022178"/>
    </cacheField>
    <cacheField name="Total Phenols – Fresh Sample (mg GAE/100 g)" numFmtId="2">
      <sharedItems containsSemiMixedTypes="0" containsString="0" containsNumber="1" minValue="31.031249329447739" maxValue="192.5000005722045"/>
    </cacheField>
    <cacheField name="Total Phenols – Dry Matter (mg GAE/100 g)" numFmtId="2">
      <sharedItems containsSemiMixedTypes="0" containsString="0" containsNumber="1" minValue="404.87938697792981" maxValue="2747.5247524752413"/>
    </cacheField>
    <cacheField name="Antioxidant Capacity – Fresh Sample (mmol TAE/100 g)" numFmtId="0">
      <sharedItems containsSemiMixedTypes="0" containsString="0" containsNumber="1" minValue="0.21600865395570321" maxValue="1.4210832567498233"/>
    </cacheField>
    <cacheField name="Antioxidant Capacity – Dry Matter (mmol TAE/100 g)" numFmtId="2">
      <sharedItems containsSemiMixedTypes="0" containsString="0" containsNumber="1" minValue="3.1244792717837622" maxValue="37.9968785227225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2025-1"/>
    <x v="0"/>
    <s v="B"/>
    <n v="2034"/>
    <x v="0"/>
    <n v="0.58333333333333337"/>
    <n v="0.11"/>
    <n v="2.3333333333333331E-2"/>
    <n v="5.4966666666666661"/>
    <n v="0.93910000000000005"/>
    <n v="3.6539999999999968E-2"/>
    <n v="4.5335494261518998E-3"/>
    <m/>
    <m/>
    <n v="70.148148148148195"/>
    <n v="1151.8579334671299"/>
    <n v="96.625"/>
    <n v="1586.617405582921"/>
    <n v="0.89192025183630741"/>
    <n v="14.645652739512421"/>
  </r>
  <r>
    <s v="2025-2"/>
    <x v="0"/>
    <s v="B"/>
    <n v="2034"/>
    <x v="0"/>
    <n v="0.55333333333333334"/>
    <n v="9.6666666666666679E-2"/>
    <n v="3.3333333333333333E-2"/>
    <n v="6.5666666666666664"/>
    <n v="0.94440000000000002"/>
    <n v="3.3359999999999987E-2"/>
    <n v="4.2421950614887991E-3"/>
    <m/>
    <m/>
    <n v="71.259259259259252"/>
    <n v="1281.6413535837999"/>
    <n v="93.5"/>
    <n v="1681.6546762589933"/>
    <n v="0.91815320041972814"/>
    <n v="16.513546770139001"/>
  </r>
  <r>
    <s v="2025-3"/>
    <x v="0"/>
    <s v="B"/>
    <n v="2034"/>
    <x v="0"/>
    <n v="0.56333333333333335"/>
    <n v="6.6666666666666666E-2"/>
    <n v="0.02"/>
    <n v="8.6933333333333334"/>
    <n v="0.93940000000000001"/>
    <n v="3.635999999999999E-2"/>
    <n v="4.2558316673182092E-3"/>
    <m/>
    <m/>
    <n v="66.81481481481481"/>
    <n v="1102.554699914436"/>
    <n v="120.99999999999997"/>
    <n v="1996.6996699669967"/>
    <n v="0.78698845750262403"/>
    <n v="12.986608209614261"/>
  </r>
  <r>
    <s v="2025-4"/>
    <x v="0"/>
    <s v="B"/>
    <n v="2034"/>
    <x v="0"/>
    <n v="0.72000000000000008"/>
    <n v="7.3333333333333334E-2"/>
    <n v="4.3333333333333335E-2"/>
    <n v="10.603333333333333"/>
    <n v="0.93969999999999998"/>
    <n v="3.6180000000000011E-2"/>
    <n v="4.1971841450870158E-3"/>
    <m/>
    <m/>
    <n v="61.25925925925926"/>
    <n v="1015.9081137522262"/>
    <n v="95.375"/>
    <n v="1581.6749585406296"/>
    <n v="0.83071003847499192"/>
    <n v="13.776285878523908"/>
  </r>
  <r>
    <s v="2025-5"/>
    <x v="1"/>
    <s v="B"/>
    <n v="2012"/>
    <x v="0"/>
    <n v="0.56000000000000005"/>
    <n v="8.3333333333333329E-2"/>
    <n v="3.3333333333333333E-2"/>
    <n v="10.293333333333335"/>
    <n v="0.95779999999999998"/>
    <n v="2.5320000000000009E-2"/>
    <n v="3.9076345187448154E-3"/>
    <m/>
    <m/>
    <n v="51.629629629629626"/>
    <n v="1223.450939090749"/>
    <n v="92.25"/>
    <n v="2186.0189573459706"/>
    <n v="0.69954529555788802"/>
    <n v="16.576902738338571"/>
  </r>
  <r>
    <s v="2025-6"/>
    <x v="1"/>
    <s v="B"/>
    <n v="2012"/>
    <x v="0"/>
    <n v="0.66"/>
    <n v="8.666666666666667E-2"/>
    <n v="4.3333333333333335E-2"/>
    <n v="8.1966666666666672"/>
    <n v="0.95109999999999995"/>
    <n v="2.9340000000000033E-2"/>
    <n v="4.0333417479303368E-3"/>
    <m/>
    <m/>
    <n v="52.74074074074074"/>
    <n v="1078.5427554343698"/>
    <n v="86.625"/>
    <n v="1771.4723926380348"/>
    <n v="0.77824414130815045"/>
    <n v="15.915013114686085"/>
  </r>
  <r>
    <s v="2025-7"/>
    <x v="1"/>
    <s v="B"/>
    <n v="2012"/>
    <x v="0"/>
    <n v="0.68"/>
    <n v="8.666666666666667E-2"/>
    <n v="4.6666666666666669E-2"/>
    <n v="8.3166666666666664"/>
    <n v="0.95450000000000002"/>
    <n v="2.7299999999999991E-2"/>
    <n v="4.1132137696676258E-3"/>
    <m/>
    <m/>
    <n v="68.296296296296291"/>
    <n v="1501.0175010175014"/>
    <n v="108.50000000000003"/>
    <n v="2384.6153846153861"/>
    <n v="1.1455054214760407"/>
    <n v="25.17594332914376"/>
  </r>
  <r>
    <s v="2025-8"/>
    <x v="1"/>
    <s v="B"/>
    <n v="2012"/>
    <x v="0"/>
    <n v="0.84"/>
    <n v="0.11666666666666665"/>
    <n v="0.06"/>
    <n v="7.3766666666666678"/>
    <n v="0.9595999999999999"/>
    <n v="2.424000000000006E-2"/>
    <n v="3.9377090626526419E-3"/>
    <m/>
    <m/>
    <n v="84.592592592592595"/>
    <n v="2093.8760542720888"/>
    <n v="111.00000000000003"/>
    <n v="2747.5247524752413"/>
    <n v="1.1542497376705143"/>
    <n v="28.570538061151272"/>
  </r>
  <r>
    <s v="2025-9"/>
    <x v="0"/>
    <s v="B"/>
    <n v="2034"/>
    <x v="1"/>
    <n v="0.67666666666666675"/>
    <n v="0.10333333333333333"/>
    <n v="4.3333333333333335E-2"/>
    <n v="7.4666666666666659"/>
    <n v="0.9234"/>
    <n v="4.5960000000000001E-2"/>
    <n v="4.8691722407194519E-3"/>
    <m/>
    <m/>
    <n v="84.255637971978445"/>
    <n v="1099.9430544644706"/>
    <n v="109.49999970197678"/>
    <n v="1429.5039125584435"/>
    <n v="0.77344199398887215"/>
    <n v="10.097153968523134"/>
  </r>
  <r>
    <s v="2025-10"/>
    <x v="0"/>
    <s v="B"/>
    <n v="2034"/>
    <x v="1"/>
    <n v="0.60666666666666669"/>
    <n v="6.6666666666666666E-2"/>
    <n v="0.04"/>
    <n v="9.4166666666666661"/>
    <n v="0.92620000000000002"/>
    <n v="4.4279999999999986E-2"/>
    <n v="5.3449223237923638E-3"/>
    <m/>
    <m/>
    <n v="78.045116324173776"/>
    <n v="1057.5219014115692"/>
    <n v="106.07142877578735"/>
    <n v="1437.2822327342465"/>
    <n v="0.5439720959182941"/>
    <n v="7.3708956086489739"/>
  </r>
  <r>
    <s v="2025-11"/>
    <x v="0"/>
    <s v="B"/>
    <n v="2034"/>
    <x v="1"/>
    <n v="0.77999999999999992"/>
    <n v="7.6666666666666661E-2"/>
    <n v="5.3333333333333337E-2"/>
    <n v="10.506666666666666"/>
    <n v="0.91800000000000004"/>
    <n v="4.9199999999999973E-2"/>
    <n v="5.1070144462416756E-3"/>
    <m/>
    <m/>
    <n v="99.293231060630404"/>
    <n v="1210.8930617150054"/>
    <n v="117.39285740682058"/>
    <n v="1431.6202122783004"/>
    <n v="0.66220157120070877"/>
    <n v="8.0756289170818185"/>
  </r>
  <r>
    <s v="2025-12"/>
    <x v="0"/>
    <s v="B"/>
    <n v="2034"/>
    <x v="1"/>
    <n v="0.64333333333333342"/>
    <n v="9.6666666666666665E-2"/>
    <n v="4.3333333333333335E-2"/>
    <n v="6.8000000000000007"/>
    <n v="0.91"/>
    <n v="5.3999999999999979E-2"/>
    <n v="5.7392650280660845E-3"/>
    <m/>
    <m/>
    <n v="85.263158138533285"/>
    <n v="947.36842376148127"/>
    <n v="122.46428667647498"/>
    <n v="1360.714296405278"/>
    <n v="0.83284789875765886"/>
    <n v="9.2538655417517681"/>
  </r>
  <r>
    <s v="2025-13"/>
    <x v="1"/>
    <s v="B"/>
    <n v="2012"/>
    <x v="1"/>
    <n v="0.66"/>
    <n v="0.06"/>
    <n v="4.6666666666666669E-2"/>
    <n v="11.086666666666666"/>
    <n v="0.95240000000000002"/>
    <n v="2.8559999999999985E-2"/>
    <n v="3.9665182121834562E-3"/>
    <m/>
    <m/>
    <n v="69.969923865526255"/>
    <n v="1469.9563837295439"/>
    <n v="107.67857222897666"/>
    <n v="2262.154878760015"/>
    <n v="0.64822363978426445"/>
    <n v="13.61814369294674"/>
  </r>
  <r>
    <s v="2025-14"/>
    <x v="1"/>
    <s v="B"/>
    <n v="2012"/>
    <x v="1"/>
    <n v="0.68666666666666665"/>
    <n v="8.666666666666667E-2"/>
    <n v="7.3333333333333334E-2"/>
    <n v="8.2833333333333332"/>
    <n v="0.96260000000000001"/>
    <n v="2.2439999999999991E-2"/>
    <n v="3.8645279452094849E-3"/>
    <m/>
    <m/>
    <n v="60.977442813098875"/>
    <n v="1630.4129094411469"/>
    <n v="99.39285871386528"/>
    <n v="2657.5630672156499"/>
    <n v="1.4210832567498233"/>
    <n v="37.996878522722561"/>
  </r>
  <r>
    <s v="2025-15"/>
    <x v="1"/>
    <s v="B"/>
    <n v="2012"/>
    <x v="1"/>
    <n v="0.64333333333333342"/>
    <n v="0.12666666666666668"/>
    <n v="7.0000000000000007E-2"/>
    <n v="5.7"/>
    <n v="0.95699999999999996"/>
    <n v="2.5800000000000021E-2"/>
    <n v="3.658392967750339E-3"/>
    <m/>
    <m/>
    <n v="68.556390751573389"/>
    <n v="1594.3346686412401"/>
    <n v="110.53571555444174"/>
    <n v="2570.5980361498055"/>
    <n v="0.64764113195704776"/>
    <n v="15.061421673419702"/>
  </r>
  <r>
    <s v="2025-16"/>
    <x v="1"/>
    <s v="B"/>
    <n v="2012"/>
    <x v="1"/>
    <n v="0.58000000000000007"/>
    <n v="0.11"/>
    <n v="0.03"/>
    <n v="5.3733333333333322"/>
    <n v="0.95369999999999999"/>
    <n v="2.7780000000000003E-2"/>
    <n v="3.9222061667232161E-3"/>
    <m/>
    <m/>
    <n v="60.796993112205563"/>
    <n v="1313.1100024234461"/>
    <n v="103.14285566977091"/>
    <n v="2227.7074658697816"/>
    <n v="0.52067560141490632"/>
    <n v="11.245693335095167"/>
  </r>
  <r>
    <s v="2025-17"/>
    <x v="0"/>
    <s v="B"/>
    <n v="2034"/>
    <x v="2"/>
    <n v="0.52"/>
    <n v="0.09"/>
    <n v="0.03"/>
    <n v="5.7"/>
    <n v="0.91710000000000003"/>
    <n v="4.9739999999999986E-2"/>
    <n v="4.9991076362459362E-3"/>
    <m/>
    <m/>
    <n v="61.76315723594869"/>
    <n v="745.03205350963458"/>
    <n v="172.15000209808352"/>
    <n v="2076.5983365269431"/>
    <n v="1.1741599494240922"/>
    <n v="14.163569956864809"/>
  </r>
  <r>
    <s v="2025-18"/>
    <x v="0"/>
    <s v="B"/>
    <n v="2034"/>
    <x v="2"/>
    <n v="0.51"/>
    <n v="7.0000000000000007E-2"/>
    <n v="0.03"/>
    <n v="7.0299999999999994"/>
    <n v="0.91749999999999998"/>
    <n v="4.9500000000000009E-2"/>
    <n v="5.2566471648536998E-3"/>
    <m/>
    <m/>
    <n v="61.552629081826318"/>
    <n v="746.09247371910669"/>
    <n v="192.5000005722045"/>
    <n v="2333.3333402691451"/>
    <n v="1.0888306876962477"/>
    <n v="13.197947729651485"/>
  </r>
  <r>
    <s v="2025-19"/>
    <x v="0"/>
    <s v="B"/>
    <n v="2034"/>
    <x v="2"/>
    <n v="0.58000000000000007"/>
    <n v="0.13500000000000001"/>
    <n v="2.5000000000000001E-2"/>
    <n v="4.2050000000000001"/>
    <n v="0.91100000000000003"/>
    <n v="5.3399999999999982E-2"/>
    <n v="5.8974782910019433E-3"/>
    <m/>
    <m/>
    <n v="63.868420268359934"/>
    <n v="717.62269964449388"/>
    <n v="122.90000734329249"/>
    <n v="1380.8989589133992"/>
    <n v="1.1576825824562842"/>
    <n v="13.007669465800952"/>
  </r>
  <r>
    <s v="2025-20"/>
    <x v="0"/>
    <s v="B"/>
    <n v="2034"/>
    <x v="2"/>
    <n v="0.67500000000000004"/>
    <n v="0.1"/>
    <n v="3.5000000000000003E-2"/>
    <n v="6.5949999999999998"/>
    <n v="0.91239999999999999"/>
    <n v="5.2560000000000003E-2"/>
    <n v="3.4415308955832676E-3"/>
    <m/>
    <m/>
    <n v="61.28947630054072"/>
    <n v="699.65155594224552"/>
    <n v="175.05000290870652"/>
    <n v="1998.2877044372888"/>
    <n v="1.2140293026948377"/>
    <n v="13.858781994233304"/>
  </r>
  <r>
    <s v="2025-21"/>
    <x v="1"/>
    <s v="B"/>
    <n v="2012"/>
    <x v="2"/>
    <n v="0.48"/>
    <n v="8.4999999999999992E-2"/>
    <n v="2.5000000000000001E-2"/>
    <n v="5.6749999999999998"/>
    <n v="0.95330000000000004"/>
    <n v="2.8019999999999979E-2"/>
    <n v="3.6090983907738202E-3"/>
    <m/>
    <m/>
    <n v="70.947369826467408"/>
    <n v="1519.2156279757487"/>
    <n v="97.100001251697535"/>
    <n v="2079.2291488586211"/>
    <n v="0.81724827786117127"/>
    <n v="17.499963123365564"/>
  </r>
  <r>
    <s v="2025-22"/>
    <x v="1"/>
    <s v="B"/>
    <n v="2012"/>
    <x v="2"/>
    <n v="0.59000000000000008"/>
    <n v="0.1"/>
    <n v="2.5000000000000001E-2"/>
    <n v="5.88"/>
    <n v="0.95"/>
    <n v="3.0000000000000027E-2"/>
    <n v="3.4368237977932727E-3"/>
    <m/>
    <m/>
    <n v="56.894735650012365"/>
    <n v="1137.8947130002464"/>
    <n v="109.95000270605087"/>
    <n v="2199.0000541210152"/>
    <n v="0.86903430712213936"/>
    <n v="17.380686142442773"/>
  </r>
  <r>
    <s v="2025-23"/>
    <x v="1"/>
    <s v="B"/>
    <n v="2012"/>
    <x v="2"/>
    <n v="0.435"/>
    <n v="0.16499999999999998"/>
    <n v="0.03"/>
    <n v="3.05"/>
    <n v="0.95109999999999995"/>
    <n v="2.9340000000000033E-2"/>
    <n v="4.6764052868274062E-3"/>
    <m/>
    <m/>
    <n v="46.157896098337673"/>
    <n v="943.92425558972639"/>
    <n v="127.00000075101852"/>
    <n v="2597.1370296731775"/>
    <n v="0.89492732175262335"/>
    <n v="18.301172223980007"/>
  </r>
  <r>
    <s v="2025-24"/>
    <x v="1"/>
    <s v="B"/>
    <n v="2012"/>
    <x v="2"/>
    <n v="0.53499999999999992"/>
    <n v="0.13"/>
    <n v="0.02"/>
    <n v="4.085"/>
    <n v="0.95509999999999995"/>
    <n v="2.694000000000003E-2"/>
    <n v="3.0877022120533474E-3"/>
    <m/>
    <m/>
    <n v="47.473680395829049"/>
    <n v="1057.3202760763695"/>
    <n v="102.99999681711196"/>
    <n v="2293.986566082669"/>
    <n v="0.81621844653615183"/>
    <n v="18.178584555370843"/>
  </r>
  <r>
    <s v="2025-25"/>
    <x v="0"/>
    <s v="B"/>
    <n v="2034"/>
    <x v="3"/>
    <n v="0.59"/>
    <n v="0.14500000000000002"/>
    <n v="0.01"/>
    <n v="4.1500000000000004"/>
    <n v="0.93779999999999997"/>
    <n v="3.732000000000002E-2"/>
    <n v="4.5953236939271242E-3"/>
    <m/>
    <m/>
    <n v="31.964284820216044"/>
    <n v="513.89525434430914"/>
    <n v="82.437503136694431"/>
    <n v="1325.3617867635753"/>
    <n v="0.58585744845019394"/>
    <n v="9.4189300393921798"/>
  </r>
  <r>
    <s v="2025-26"/>
    <x v="0"/>
    <s v="B"/>
    <n v="2034"/>
    <x v="3"/>
    <n v="0.48"/>
    <n v="6.5000000000000002E-2"/>
    <n v="0.05"/>
    <n v="7.6099999999999994"/>
    <n v="0.93940000000000001"/>
    <n v="3.635999999999999E-2"/>
    <n v="5.4390247805638147E-3"/>
    <m/>
    <m/>
    <n v="45.964282325335908"/>
    <n v="758.48650701874453"/>
    <n v="86.156246237456799"/>
    <n v="1421.7202349415315"/>
    <n v="0.54525167517470863"/>
    <n v="8.9975523956222556"/>
  </r>
  <r>
    <s v="2025-27"/>
    <x v="0"/>
    <s v="B"/>
    <n v="2034"/>
    <x v="3"/>
    <n v="0.54"/>
    <n v="0.09"/>
    <n v="0.04"/>
    <n v="6.2050000000000001"/>
    <n v="0.93100000000000005"/>
    <n v="4.1399999999999972E-2"/>
    <n v="5.1743404403153748E-3"/>
    <m/>
    <m/>
    <n v="63.392856078488492"/>
    <n v="918.73704461577586"/>
    <n v="72.531250756233931"/>
    <n v="1051.1775471917967"/>
    <n v="0.51434005138851024"/>
    <n v="7.4542036433117485"/>
  </r>
  <r>
    <s v="2025-28"/>
    <x v="0"/>
    <s v="B"/>
    <n v="2034"/>
    <x v="3"/>
    <n v="0.63"/>
    <n v="5.5E-2"/>
    <n v="3.5000000000000003E-2"/>
    <n v="10.774999999999999"/>
    <n v="0.9304"/>
    <n v="4.1759999999999999E-2"/>
    <n v="4.9128451637111496E-3"/>
    <m/>
    <m/>
    <n v="59.892860693590976"/>
    <n v="860.52960766653712"/>
    <n v="81.093749016523361"/>
    <n v="1165.1400720764852"/>
    <n v="0.5357404105105803"/>
    <n v="7.6974196912439705"/>
  </r>
  <r>
    <s v="2025-29"/>
    <x v="1"/>
    <s v="B"/>
    <n v="2012"/>
    <x v="3"/>
    <n v="0.59000000000000008"/>
    <n v="9.5000000000000001E-2"/>
    <n v="3.5000000000000003E-2"/>
    <n v="6.32"/>
    <n v="0.94779999999999998"/>
    <n v="3.1320000000000014E-2"/>
    <n v="4.0421248279093967E-3"/>
    <m/>
    <m/>
    <n v="73.000001907348633"/>
    <n v="1398.4674694894368"/>
    <n v="83.750002071261406"/>
    <n v="1604.4061699475358"/>
    <n v="0.5686640399291496"/>
    <n v="10.893947125079489"/>
  </r>
  <r>
    <s v="2025-30"/>
    <x v="1"/>
    <s v="B"/>
    <n v="2012"/>
    <x v="3"/>
    <n v="0.53500000000000003"/>
    <n v="0.125"/>
    <n v="0.01"/>
    <n v="4.3650000000000002"/>
    <n v="0.95660000000000001"/>
    <n v="2.6039999999999997E-2"/>
    <n v="3.5538341900919384E-3"/>
    <m/>
    <m/>
    <n v="53.928569810731076"/>
    <n v="1242.5937744408084"/>
    <n v="86.968746021389961"/>
    <n v="2003.8881571748841"/>
    <n v="0.58128472819885091"/>
    <n v="13.393657331770759"/>
  </r>
  <r>
    <s v="2025-31"/>
    <x v="1"/>
    <s v="B"/>
    <n v="2012"/>
    <x v="3"/>
    <n v="0.51500000000000001"/>
    <n v="0.19500000000000001"/>
    <n v="5.0000000000000001E-3"/>
    <n v="2.66"/>
    <n v="0.93730000000000002"/>
    <n v="3.7619999999999987E-2"/>
    <n v="3.7634862258130236E-3"/>
    <m/>
    <m/>
    <n v="39.357144704886842"/>
    <n v="627.70565717522891"/>
    <n v="73.937501277774572"/>
    <n v="1179.2264956582871"/>
    <n v="0.5487269229417242"/>
    <n v="8.7516255652587631"/>
  </r>
  <r>
    <s v="2025-32"/>
    <x v="1"/>
    <s v="B"/>
    <n v="2012"/>
    <x v="3"/>
    <n v="0.505"/>
    <n v="0.18"/>
    <n v="1.4999999999999999E-2"/>
    <n v="2.835"/>
    <n v="0.94989999999999997"/>
    <n v="3.0060000000000017E-2"/>
    <n v="3.4627929315306774E-3"/>
    <m/>
    <m/>
    <n v="41.142851965768003"/>
    <n v="821.21461009516918"/>
    <n v="83.093750275671482"/>
    <n v="1658.5578897339606"/>
    <n v="0.58494291530215048"/>
    <n v="11.675507291460082"/>
  </r>
  <r>
    <s v="2025-33"/>
    <x v="0"/>
    <s v="B"/>
    <n v="2034"/>
    <x v="4"/>
    <n v="0.50666666666666671"/>
    <n v="0.14000000000000001"/>
    <n v="3.6666666666666667E-2"/>
    <n v="3.8433333333333333"/>
    <n v="0.93110000000000004"/>
    <n v="4.1339999999999974E-2"/>
    <n v="5.6312051171370356E-3"/>
    <n v="31.875"/>
    <n v="21.484999999999999"/>
    <n v="56.725353128473522"/>
    <n v="823.29975513024021"/>
    <n v="101.3928605573518"/>
    <n v="1471.5944928498093"/>
    <n v="0.59722347017235944"/>
    <n v="8.6679748936481822"/>
  </r>
  <r>
    <s v="2025-34"/>
    <x v="0"/>
    <s v="B"/>
    <n v="2034"/>
    <x v="4"/>
    <n v="0.51666666666666661"/>
    <n v="0.10333333333333333"/>
    <n v="6.6666666666666671E-3"/>
    <n v="5.2366666666666664"/>
    <n v="0.93489999999999995"/>
    <n v="3.9060000000000025E-2"/>
    <n v="5.5178056495148288E-3"/>
    <n v="31.024999999999999"/>
    <n v="20.745000000000001"/>
    <n v="62.464787212895672"/>
    <n v="959.52054090469471"/>
    <n v="91.428571147578111"/>
    <n v="1404.4327365219362"/>
    <n v="0.53411067586262784"/>
    <n v="8.2044650670142474"/>
  </r>
  <r>
    <s v="2025-35"/>
    <x v="0"/>
    <s v="B"/>
    <n v="2034"/>
    <x v="4"/>
    <n v="0.48333333333333334"/>
    <n v="0.11666666666666668"/>
    <n v="0.02"/>
    <n v="4.2233333333333336"/>
    <n v="0.92479999999999996"/>
    <n v="4.5120000000000028E-2"/>
    <n v="5.3293753175211586E-3"/>
    <n v="29.95"/>
    <n v="20.234999999999999"/>
    <n v="50.563381927114129"/>
    <n v="672.38539796694283"/>
    <n v="93.714286872318823"/>
    <n v="1246.2006233021114"/>
    <n v="0.56423531283841144"/>
    <n v="7.5031291600852539"/>
  </r>
  <r>
    <s v="2025-36"/>
    <x v="0"/>
    <s v="B"/>
    <n v="2034"/>
    <x v="4"/>
    <n v="0.46666666666666662"/>
    <n v="0.13"/>
    <n v="2.3333333333333334E-2"/>
    <n v="3.8666666666666671"/>
    <n v="0.92569999999999997"/>
    <n v="4.4580000000000015E-2"/>
    <n v="5.2481106801546325E-3"/>
    <n v="30.875"/>
    <n v="18.134999999999998"/>
    <n v="45.880280141259583"/>
    <n v="617.50040566971143"/>
    <n v="88.214284241199493"/>
    <n v="1187.2716586971662"/>
    <n v="0.49596811361145943"/>
    <n v="6.6752101428191013"/>
  </r>
  <r>
    <s v="2025-37"/>
    <x v="1"/>
    <s v="B"/>
    <n v="2012"/>
    <x v="4"/>
    <n v="0.71333333333333337"/>
    <n v="0.10666666666666667"/>
    <n v="0.02"/>
    <n v="6.6133333333333333"/>
    <n v="0.95240000000000002"/>
    <n v="2.8559999999999985E-2"/>
    <n v="3.3155972045743644E-3"/>
    <n v="41.674999999999997"/>
    <n v="35.299999999999997"/>
    <n v="38.908449193121683"/>
    <n v="817.40439481348119"/>
    <n v="75.785715298993253"/>
    <n v="1592.1368760292708"/>
    <n v="0.47466322857486132"/>
    <n v="9.9719165666987717"/>
  </r>
  <r>
    <s v="2025-38"/>
    <x v="1"/>
    <s v="B"/>
    <n v="2012"/>
    <x v="4"/>
    <n v="0.68333333333333324"/>
    <n v="0.11333333333333333"/>
    <n v="0.02"/>
    <n v="6.0733333333333341"/>
    <n v="0.94899999999999995"/>
    <n v="3.0600000000000026E-2"/>
    <n v="3.6327874116892358E-3"/>
    <n v="46.974999999999994"/>
    <n v="47.125"/>
    <n v="59.788732797327171"/>
    <n v="1172.3280940652376"/>
    <n v="78.178573033639367"/>
    <n v="1532.9131967380254"/>
    <n v="0.47798495998109908"/>
    <n v="9.3722541172764444"/>
  </r>
  <r>
    <s v="2025-39"/>
    <x v="1"/>
    <s v="B"/>
    <n v="2012"/>
    <x v="4"/>
    <n v="0.47666666666666663"/>
    <n v="0.13333333333333333"/>
    <n v="0.01"/>
    <n v="4.003333333333333"/>
    <n v="0.94410000000000005"/>
    <n v="3.3539999999999966E-2"/>
    <n v="3.8220576066828817E-3"/>
    <n v="44.075000000000003"/>
    <n v="39.164999999999999"/>
    <n v="45.704223446443045"/>
    <n v="817.60685950703191"/>
    <n v="82.714286931923468"/>
    <n v="1479.6831293725143"/>
    <n v="0.41785028146187803"/>
    <n v="7.4749603123770738"/>
  </r>
  <r>
    <s v="2025-40"/>
    <x v="1"/>
    <s v="B"/>
    <n v="2012"/>
    <x v="4"/>
    <n v="0.59"/>
    <n v="0.12666666666666668"/>
    <n v="6.6666666666666671E-3"/>
    <n v="4.6833333333333327"/>
    <n v="0.95"/>
    <n v="3.0000000000000027E-2"/>
    <n v="4.2946252416344961E-3"/>
    <n v="42.150000000000006"/>
    <n v="36.625"/>
    <n v="42.676055641241483"/>
    <n v="853.52111282482895"/>
    <n v="71.392858300890239"/>
    <n v="1427.8571660178036"/>
    <n v="0.43800972421894818"/>
    <n v="8.760194484378955"/>
  </r>
  <r>
    <s v="2025-41"/>
    <x v="0"/>
    <s v="B"/>
    <n v="2034"/>
    <x v="5"/>
    <n v="0.57499999999999996"/>
    <n v="0.1"/>
    <n v="1.4999999999999999E-2"/>
    <n v="5.9749999999999996"/>
    <n v="0.9304"/>
    <n v="4.1759999999999999E-2"/>
    <n v="4.722141447133954E-3"/>
    <n v="34.274999999999999"/>
    <n v="23.65"/>
    <n v="40.615943402483843"/>
    <n v="583.56240520810127"/>
    <n v="83.00000011920929"/>
    <n v="1192.5287373449612"/>
    <n v="0.52909293380151268"/>
    <n v="7.6019099684125386"/>
  </r>
  <r>
    <s v="2025-42"/>
    <x v="0"/>
    <s v="B"/>
    <n v="2034"/>
    <x v="5"/>
    <n v="0.67500000000000004"/>
    <n v="7.5000000000000011E-2"/>
    <n v="3.5000000000000003E-2"/>
    <n v="8.9849999999999994"/>
    <n v="0.9365"/>
    <n v="3.8100000000000002E-2"/>
    <n v="4.2368869878665182E-3"/>
    <n v="30.45"/>
    <n v="17.634999999999998"/>
    <n v="53.514491112335875"/>
    <n v="842.74789153284837"/>
    <n v="73.718746677041054"/>
    <n v="1160.9251445203315"/>
    <n v="0.43581687209996778"/>
    <n v="6.8632578283459491"/>
  </r>
  <r>
    <s v="2025-43"/>
    <x v="0"/>
    <s v="B"/>
    <n v="2034"/>
    <x v="5"/>
    <n v="0.57499999999999996"/>
    <n v="0.1"/>
    <n v="0.01"/>
    <n v="5.88"/>
    <n v="0.92900000000000005"/>
    <n v="4.2599999999999971E-2"/>
    <n v="4.2738456622463377E-3"/>
    <n v="31.900000000000002"/>
    <n v="19.850000000000001"/>
    <n v="45.579709160155154"/>
    <n v="641.967734650073"/>
    <n v="88.937498182058334"/>
    <n v="1252.6408194656112"/>
    <n v="0.47935527065730926"/>
    <n v="6.7514826853142198"/>
  </r>
  <r>
    <s v="2025-44"/>
    <x v="0"/>
    <s v="B"/>
    <n v="2034"/>
    <x v="5"/>
    <n v="0.66999999999999993"/>
    <n v="8.4999999999999992E-2"/>
    <n v="2.5000000000000001E-2"/>
    <n v="8.0150000000000006"/>
    <n v="0.92500000000000004"/>
    <n v="4.4999999999999971E-2"/>
    <n v="4.074492874015203E-3"/>
    <n v="32.024999999999999"/>
    <n v="20.71"/>
    <n v="39.130432605743415"/>
    <n v="521.73910140991256"/>
    <n v="84.500002227723598"/>
    <n v="1126.6666963696487"/>
    <n v="0.47214692737891062"/>
    <n v="6.2952923650521457"/>
  </r>
  <r>
    <s v="2025-45"/>
    <x v="1"/>
    <s v="B"/>
    <n v="2012"/>
    <x v="5"/>
    <n v="0.69"/>
    <n v="0.12000000000000001"/>
    <n v="5.0000000000000001E-3"/>
    <n v="6.0549999999999997"/>
    <n v="0.96379999999999999"/>
    <n v="2.1720000000000007E-2"/>
    <n v="3.0614463348900413E-3"/>
    <n v="42.075000000000003"/>
    <n v="37.480000000000004"/>
    <n v="27.681157796279244"/>
    <n v="764.67286730053138"/>
    <n v="80.187499076128006"/>
    <n v="2215.1242838709386"/>
    <n v="0.36373335338575152"/>
    <n v="10.047882690214127"/>
  </r>
  <r>
    <s v="2025-46"/>
    <x v="1"/>
    <s v="B"/>
    <n v="2012"/>
    <x v="5"/>
    <n v="0.67500000000000004"/>
    <n v="0.11"/>
    <n v="0.01"/>
    <n v="6.07"/>
    <n v="0.94599999999999995"/>
    <n v="3.2400000000000026E-2"/>
    <n v="3.9479240851015372E-3"/>
    <n v="40.4"/>
    <n v="33.24"/>
    <n v="34.927538495132893"/>
    <n v="646.80626842838637"/>
    <n v="75.562499947845936"/>
    <n v="1399.3055545897382"/>
    <n v="0.46940777240056059"/>
    <n v="8.692736525936299"/>
  </r>
  <r>
    <s v="2025-47"/>
    <x v="1"/>
    <s v="B"/>
    <n v="2012"/>
    <x v="5"/>
    <n v="0.54999999999999993"/>
    <n v="0.155"/>
    <n v="0.03"/>
    <n v="4.0149999999999997"/>
    <n v="0.94769999999999999"/>
    <n v="3.1380000000000005E-2"/>
    <n v="3.4474273970594152E-3"/>
    <n v="39.475000000000001"/>
    <n v="30.335000000000001"/>
    <n v="33.007245828276098"/>
    <n v="631.11368696512602"/>
    <n v="67.875000201165676"/>
    <n v="1297.8011510739132"/>
    <n v="0.40467678789077527"/>
    <n v="7.7376058870129096"/>
  </r>
  <r>
    <s v="2025-48"/>
    <x v="1"/>
    <s v="B"/>
    <n v="2012"/>
    <x v="5"/>
    <n v="0.755"/>
    <n v="9.5000000000000001E-2"/>
    <n v="0.02"/>
    <n v="8.2199999999999989"/>
    <n v="0.95399999999999996"/>
    <n v="2.7600000000000024E-2"/>
    <n v="3.2482303376167752E-3"/>
    <n v="43.674999999999997"/>
    <n v="39.045000000000002"/>
    <n v="21.231886640838958"/>
    <n v="461.56275306171608"/>
    <n v="59.000001307576881"/>
    <n v="1282.6087240777572"/>
    <n v="0.35868753027691852"/>
    <n v="7.7975550060199605"/>
  </r>
  <r>
    <s v="2025-49"/>
    <x v="0"/>
    <s v="B"/>
    <n v="2034"/>
    <x v="6"/>
    <n v="0.62"/>
    <n v="7.0000000000000007E-2"/>
    <n v="3.5000000000000003E-2"/>
    <n v="9.69"/>
    <n v="0.93469999999999998"/>
    <n v="3.9180000000000013E-2"/>
    <n v="5.580502245201853E-3"/>
    <n v="33.75"/>
    <n v="21.125"/>
    <n v="19.214287034102853"/>
    <n v="294.24635580555662"/>
    <n v="61.249999860922493"/>
    <n v="937.97855836022154"/>
    <n v="0.29998850159304946"/>
    <n v="4.5940046185765597"/>
  </r>
  <r>
    <s v="2025-50"/>
    <x v="0"/>
    <s v="B"/>
    <n v="2034"/>
    <x v="6"/>
    <n v="0.63"/>
    <n v="5.5E-2"/>
    <n v="0.03"/>
    <n v="10.98"/>
    <n v="0.93379999999999996"/>
    <n v="3.9720000000000019E-2"/>
    <n v="5.071125530322176E-3"/>
    <n v="33.299999999999997"/>
    <n v="20.77"/>
    <n v="52.107142184461871"/>
    <n v="787.1169514269161"/>
    <n v="69.638885882165695"/>
    <n v="1051.946916649028"/>
    <n v="0.45705060437606787"/>
    <n v="6.9040876793967918"/>
  </r>
  <r>
    <s v="2025-51"/>
    <x v="0"/>
    <s v="B"/>
    <n v="2034"/>
    <x v="6"/>
    <n v="0.70499999999999996"/>
    <n v="0.05"/>
    <n v="5.5E-2"/>
    <n v="15.39"/>
    <n v="0.9264"/>
    <n v="4.4159999999999998E-2"/>
    <n v="4.9496058277615097E-3"/>
    <n v="33.25"/>
    <n v="22.024999999999999"/>
    <n v="56.178570491927019"/>
    <n v="763.29579472726925"/>
    <n v="87.944445007377197"/>
    <n v="1194.8973506437119"/>
    <n v="0.46975842085412456"/>
    <n v="6.3825872398658232"/>
  </r>
  <r>
    <s v="2025-52"/>
    <x v="0"/>
    <s v="B"/>
    <n v="2034"/>
    <x v="6"/>
    <n v="0.76"/>
    <n v="8.4999999999999992E-2"/>
    <n v="3.5000000000000003E-2"/>
    <n v="8.91"/>
    <n v="0.93600000000000005"/>
    <n v="3.8399999999999969E-2"/>
    <n v="5.2785923753666279E-3"/>
    <n v="34.200000000000003"/>
    <n v="22.245000000000001"/>
    <n v="47.535710734980448"/>
    <n v="742.7454802340701"/>
    <n v="84.250000112586548"/>
    <n v="1316.406251759166"/>
    <n v="0.43306304546663199"/>
    <n v="6.7666100854161302"/>
  </r>
  <r>
    <s v="2025-53"/>
    <x v="1"/>
    <s v="B"/>
    <n v="2012"/>
    <x v="6"/>
    <n v="0.76"/>
    <n v="7.0000000000000007E-2"/>
    <n v="0.05"/>
    <n v="11.690000000000001"/>
    <n v="0.96079999999999999"/>
    <n v="2.3520000000000006E-2"/>
    <n v="3.7926675094816708E-3"/>
    <n v="43.3"/>
    <n v="39.004999999999995"/>
    <n v="22.749999970197678"/>
    <n v="580.35714209687933"/>
    <n v="80.94444655047522"/>
    <n v="2064.9093507774282"/>
    <n v="0.22302816144143778"/>
    <n v="5.6894939143223908"/>
  </r>
  <r>
    <s v="2025-54"/>
    <x v="1"/>
    <s v="B"/>
    <n v="2012"/>
    <x v="6"/>
    <n v="0.84"/>
    <n v="0.10500000000000001"/>
    <n v="0.05"/>
    <n v="7.8350000000000009"/>
    <n v="0.94820000000000004"/>
    <n v="3.1079999999999972E-2"/>
    <n v="3.8241109694773733E-3"/>
    <n v="44.45"/>
    <n v="40.835000000000001"/>
    <n v="24.357140762465342"/>
    <n v="470.21507263446642"/>
    <n v="75.166666169961289"/>
    <n v="1451.0939415050454"/>
    <n v="0.36624015872050525"/>
    <n v="7.0702733343726942"/>
  </r>
  <r>
    <s v="2025-55"/>
    <x v="1"/>
    <s v="B"/>
    <n v="2012"/>
    <x v="6"/>
    <n v="0.82000000000000006"/>
    <n v="9.5000000000000001E-2"/>
    <n v="4.4999999999999998E-2"/>
    <n v="8.69"/>
    <n v="0.95309999999999995"/>
    <n v="2.814000000000003E-2"/>
    <n v="3.6997990969306152E-3"/>
    <n v="40.099999999999994"/>
    <n v="31.34"/>
    <n v="28.821430202041359"/>
    <n v="614.52942861495364"/>
    <n v="60.499999582767487"/>
    <n v="1289.9786691421625"/>
    <n v="0.3885145394082713"/>
    <n v="8.2838920982573736"/>
  </r>
  <r>
    <s v="2025-56"/>
    <x v="1"/>
    <s v="B"/>
    <n v="2012"/>
    <x v="6"/>
    <n v="0.73499999999999999"/>
    <n v="0.11"/>
    <n v="0.03"/>
    <n v="6.8"/>
    <n v="0.95669999999999999"/>
    <n v="2.5980000000000003E-2"/>
    <n v="3.3000000000001249E-3"/>
    <n v="41.349999999999994"/>
    <n v="33.81"/>
    <n v="16.000000127724242"/>
    <n v="369.51501449709559"/>
    <n v="53.166668358776306"/>
    <n v="1227.8676295329399"/>
    <n v="0.32326227879631819"/>
    <n v="7.4656415426401423"/>
  </r>
  <r>
    <s v="2025-57"/>
    <x v="0"/>
    <s v="B"/>
    <n v="2034"/>
    <x v="7"/>
    <n v="0.76"/>
    <n v="0.12"/>
    <n v="0.02"/>
    <n v="6.6"/>
    <n v="0.92249999999999999"/>
    <n v="4.6500000000000007E-2"/>
    <n v="5.107697180867966E-3"/>
    <n v="30.25"/>
    <n v="20.433999999999997"/>
    <n v="38.555554972754585"/>
    <n v="497.49103190651067"/>
    <n v="32.250000637311203"/>
    <n v="416.1290404814348"/>
    <n v="0.46776252131244556"/>
    <n v="6.0356454362896192"/>
  </r>
  <r>
    <s v="2025-58"/>
    <x v="0"/>
    <s v="B"/>
    <n v="2034"/>
    <x v="7"/>
    <n v="0.61"/>
    <n v="0.10500000000000001"/>
    <n v="4.5000000000000005E-2"/>
    <n v="5.91"/>
    <n v="0.92420000000000002"/>
    <n v="4.5479999999999986E-2"/>
    <n v="4.228245477572415E-3"/>
    <n v="31.15"/>
    <n v="21.445900000000002"/>
    <n v="52.583334273762169"/>
    <n v="693.71153395464626"/>
    <n v="54.923074506796318"/>
    <n v="724.57881935087516"/>
    <n v="0.48728028051066474"/>
    <n v="6.4284997428847612"/>
  </r>
  <r>
    <s v="2025-59"/>
    <x v="0"/>
    <s v="B"/>
    <n v="2034"/>
    <x v="7"/>
    <n v="0.78"/>
    <n v="6.5000000000000002E-2"/>
    <n v="5.5E-2"/>
    <n v="12.41"/>
    <n v="0.92789999999999995"/>
    <n v="4.3260000000000028E-2"/>
    <n v="4.2021851362710203E-3"/>
    <n v="31.4"/>
    <n v="20.057649999999999"/>
    <n v="31.63888712061776"/>
    <n v="438.81951623602964"/>
    <n v="78.86538057143872"/>
    <n v="1093.8332950268884"/>
    <n v="0.42859416740130196"/>
    <n v="5.9444406019598013"/>
  </r>
  <r>
    <s v="2025-60"/>
    <x v="0"/>
    <s v="B"/>
    <n v="2034"/>
    <x v="7"/>
    <n v="0.8"/>
    <n v="7.5000000000000011E-2"/>
    <n v="4.4999999999999998E-2"/>
    <n v="10.48"/>
    <n v="0.91839999999999999"/>
    <n v="4.8960000000000004E-2"/>
    <n v="5.0235354614132453E-3"/>
    <n v="29.9"/>
    <n v="17.12265"/>
    <n v="41.888888852463836"/>
    <n v="513.34422613313518"/>
    <n v="83.269229632157547"/>
    <n v="1020.4562454921268"/>
    <n v="0.42620423608847069"/>
    <n v="5.22309112853518"/>
  </r>
  <r>
    <s v="2025-61"/>
    <x v="1"/>
    <s v="B"/>
    <n v="2012"/>
    <x v="7"/>
    <n v="0.66500000000000004"/>
    <n v="0.1"/>
    <n v="5.0000000000000001E-3"/>
    <n v="6.87"/>
    <n v="0.95509999999999995"/>
    <n v="2.694000000000003E-2"/>
    <n v="3.464295726700861E-3"/>
    <n v="42.15"/>
    <n v="42.605850000000004"/>
    <n v="28.361109736892917"/>
    <n v="631.65055093302635"/>
    <n v="110.63461611821101"/>
    <n v="2464.0226306951199"/>
    <n v="0.50440806882634304"/>
    <n v="11.23403271328157"/>
  </r>
  <r>
    <s v="2025-62"/>
    <x v="1"/>
    <s v="B"/>
    <n v="2012"/>
    <x v="7"/>
    <n v="0.82499999999999996"/>
    <n v="7.5000000000000011E-2"/>
    <n v="2.5000000000000001E-2"/>
    <n v="10.824999999999999"/>
    <n v="0.95220000000000005"/>
    <n v="2.8679999999999969E-2"/>
    <n v="3.8948784356235659E-3"/>
    <n v="40.6"/>
    <n v="39.038249999999998"/>
    <n v="43.500000331136917"/>
    <n v="910.04184793173556"/>
    <n v="100.34614949042981"/>
    <n v="2099.2918303437218"/>
    <n v="0.39048806234099709"/>
    <n v="8.1692063251254705"/>
  </r>
  <r>
    <s v="2025-63"/>
    <x v="1"/>
    <s v="B"/>
    <n v="2012"/>
    <x v="7"/>
    <n v="0.66"/>
    <n v="6.5000000000000002E-2"/>
    <n v="2.5000000000000001E-2"/>
    <n v="10.895"/>
    <n v="0.95269999999999999"/>
    <n v="2.8380000000000002E-2"/>
    <n v="3.7264357737839468E-3"/>
    <n v="42.05"/>
    <n v="41.655549999999998"/>
    <n v="32.555552747514511"/>
    <n v="688.2780707719769"/>
    <n v="33.403846263885498"/>
    <n v="706.21239458531693"/>
    <n v="0.32582720008897503"/>
    <n v="6.8885243147774835"/>
  </r>
  <r>
    <s v="2025-64"/>
    <x v="1"/>
    <s v="B"/>
    <n v="2012"/>
    <x v="7"/>
    <n v="0.58000000000000007"/>
    <n v="6.5000000000000002E-2"/>
    <n v="6.0000000000000005E-2"/>
    <n v="13.105"/>
    <n v="0.9587"/>
    <n v="2.478E-2"/>
    <n v="3.5266691904596282E-3"/>
    <n v="36.75"/>
    <n v="41.5321"/>
    <n v="17.33333361811108"/>
    <n v="419.69330794457818"/>
    <n v="36.788461630160995"/>
    <n v="890.7617828126148"/>
    <n v="0.37256361706447183"/>
    <n v="9.0209108248056129"/>
  </r>
  <r>
    <s v="2025-65"/>
    <x v="0"/>
    <s v="B"/>
    <n v="2034"/>
    <x v="8"/>
    <m/>
    <m/>
    <m/>
    <m/>
    <n v="0.92149999999999999"/>
    <n v="4.710000000000001E-2"/>
    <n v="5.2803896907629173E-3"/>
    <n v="29.174999999999997"/>
    <n v="13.09"/>
    <n v="26.648352257498015"/>
    <n v="339.46945550952881"/>
    <n v="51.756849066035421"/>
    <n v="659.32291803866769"/>
    <n v="0.53777875295959565"/>
    <n v="6.8506847510776501"/>
  </r>
  <r>
    <s v="2025-66"/>
    <x v="0"/>
    <s v="B"/>
    <n v="2034"/>
    <x v="8"/>
    <m/>
    <m/>
    <m/>
    <m/>
    <n v="0.91059999999999997"/>
    <n v="5.3640000000000021E-2"/>
    <n v="3.9887236084448809E-3"/>
    <n v="30.875"/>
    <n v="15.202499999999999"/>
    <n v="35.274726581442479"/>
    <n v="394.57188569846159"/>
    <n v="52.886986301369873"/>
    <n v="591.57702797952857"/>
    <n v="0.59777550132730151"/>
    <n v="6.6865268604843546"/>
  </r>
  <r>
    <s v="2025-67"/>
    <x v="0"/>
    <s v="B"/>
    <n v="2034"/>
    <x v="8"/>
    <m/>
    <m/>
    <m/>
    <m/>
    <n v="0.92120000000000002"/>
    <n v="4.7279999999999989E-2"/>
    <n v="6.3795534312598642E-3"/>
    <n v="29.675000000000001"/>
    <n v="15.324999999999999"/>
    <n v="47.390109549511912"/>
    <n v="601.39732930852699"/>
    <n v="58.154109342457467"/>
    <n v="737.99631145250612"/>
    <n v="0.64434822295033556"/>
    <n v="8.1770079054611138"/>
  </r>
  <r>
    <s v="2025-68"/>
    <x v="0"/>
    <s v="B"/>
    <n v="2034"/>
    <x v="8"/>
    <m/>
    <m/>
    <m/>
    <m/>
    <n v="0.91310000000000002"/>
    <n v="5.2139999999999985E-2"/>
    <n v="4.7776111944023165E-3"/>
    <n v="31.737499999999997"/>
    <n v="17.677500000000002"/>
    <n v="38.104397733132913"/>
    <n v="438.4855895642454"/>
    <n v="65.688356285225865"/>
    <n v="755.90743711422192"/>
    <n v="0.55394223870123827"/>
    <n v="6.3744791565159771"/>
  </r>
  <r>
    <s v="2025-69"/>
    <x v="1"/>
    <s v="B"/>
    <n v="2012"/>
    <x v="8"/>
    <m/>
    <m/>
    <m/>
    <m/>
    <n v="0.94230000000000003"/>
    <n v="3.4619999999999984E-2"/>
    <n v="4.8085093620975532E-3"/>
    <n v="43.424999999999997"/>
    <n v="38.49"/>
    <n v="26.291209495329593"/>
    <n v="455.65354411316474"/>
    <n v="79.335616199937334"/>
    <n v="1374.9673518186719"/>
    <n v="0.54586049583041707"/>
    <n v="9.4603205516536804"/>
  </r>
  <r>
    <s v="2025-70"/>
    <x v="1"/>
    <s v="B"/>
    <n v="2012"/>
    <x v="8"/>
    <m/>
    <m/>
    <m/>
    <m/>
    <n v="0.95220000000000005"/>
    <n v="2.8679999999999969E-2"/>
    <n v="5.2973513243375582E-3"/>
    <n v="42.95"/>
    <n v="39.844999999999999"/>
    <n v="22.829669749998782"/>
    <n v="477.60815376566535"/>
    <n v="77.958904041002754"/>
    <n v="1630.9394150837411"/>
    <n v="0.3906635262660344"/>
    <n v="8.1728771185362916"/>
  </r>
  <r>
    <s v="2025-71"/>
    <x v="1"/>
    <s v="B"/>
    <n v="2012"/>
    <x v="8"/>
    <m/>
    <m/>
    <m/>
    <m/>
    <n v="0.9496"/>
    <n v="3.024E-2"/>
    <n v="5.3955756279845469E-3"/>
    <n v="43.125"/>
    <n v="37.454999999999998"/>
    <n v="23.873625043984298"/>
    <n v="473.68303658699006"/>
    <n v="51.147260422575954"/>
    <n v="1014.8265956860308"/>
    <n v="0.48517890312489953"/>
    <n v="9.6265655381924518"/>
  </r>
  <r>
    <s v="2025-72"/>
    <x v="1"/>
    <s v="B"/>
    <n v="2012"/>
    <x v="8"/>
    <m/>
    <m/>
    <m/>
    <m/>
    <n v="0.94620000000000004"/>
    <n v="3.2279999999999975E-2"/>
    <n v="4.1799164016721726E-3"/>
    <n v="43.3"/>
    <n v="38.629999999999995"/>
    <n v="27.967033382955485"/>
    <n v="519.83333425567855"/>
    <n v="63.2123288201959"/>
    <n v="1174.9503498177685"/>
    <n v="0.35559693249432878"/>
    <n v="6.6096084106752615"/>
  </r>
  <r>
    <s v="2025-73"/>
    <x v="0"/>
    <s v="B"/>
    <n v="2034"/>
    <x v="9"/>
    <n v="0.83333333333333337"/>
    <n v="6.6666666666666666E-2"/>
    <n v="0.04"/>
    <n v="12.4"/>
    <n v="0.91420000000000001"/>
    <n v="5.1479999999999991E-2"/>
    <n v="4.4191185021521312E-3"/>
    <n v="30.6"/>
    <n v="14.780000000000001"/>
    <n v="50.232561535613485"/>
    <n v="551.91903836282427"/>
    <n v="91.656250454485402"/>
    <n v="1068.2546673016948"/>
    <n v="0.51455044979101805"/>
    <n v="5.9970914894058058"/>
  </r>
  <r>
    <s v="2025-74"/>
    <x v="0"/>
    <s v="B"/>
    <n v="2034"/>
    <x v="9"/>
    <n v="0.86333333333333329"/>
    <n v="6.3333333333333339E-2"/>
    <n v="0.04"/>
    <n v="14.4"/>
    <n v="0.92020000000000002"/>
    <n v="4.7879999999999985E-2"/>
    <n v="6.1502659574462545E-3"/>
    <n v="32.575000000000003"/>
    <n v="17.72"/>
    <n v="31.07558105574098"/>
    <n v="445.1535437611106"/>
    <n v="86.343753658235059"/>
    <n v="1082.0019255417931"/>
    <n v="0.50645437338400134"/>
    <n v="6.3465460323809708"/>
  </r>
  <r>
    <s v="2025-75"/>
    <x v="0"/>
    <s v="B"/>
    <n v="2034"/>
    <x v="9"/>
    <n v="0.89666666666666661"/>
    <n v="8.3333333333333329E-2"/>
    <n v="0.03"/>
    <n v="11.56"/>
    <n v="0.92449999999999999"/>
    <n v="4.5300000000000007E-2"/>
    <n v="5.8479532163740206E-3"/>
    <n v="30.524999999999999"/>
    <n v="14.555"/>
    <n v="41.56976714383724"/>
    <n v="434.31385490976191"/>
    <n v="83.812502719461904"/>
    <n v="1110.0993737677072"/>
    <n v="0.50555479444483964"/>
    <n v="6.6960899926468818"/>
  </r>
  <r>
    <s v="2025-76"/>
    <x v="0"/>
    <s v="B"/>
    <n v="2034"/>
    <x v="9"/>
    <n v="0.65666666666666673"/>
    <n v="0.06"/>
    <n v="2.6666666666666668E-2"/>
    <n v="10.953333333333333"/>
    <n v="0.92149999999999999"/>
    <n v="4.710000000000001E-2"/>
    <n v="6.2990837696333575E-3"/>
    <n v="30.55"/>
    <n v="14.574999999999999"/>
    <n v="43.895348920378581"/>
    <n v="282.18042027630673"/>
    <n v="87.343751959502683"/>
    <n v="1112.6592606306072"/>
    <n v="0.51027751685271938"/>
    <n v="6.5003505331556601"/>
  </r>
  <r>
    <s v="2025-77"/>
    <x v="1"/>
    <s v="B"/>
    <n v="2012"/>
    <x v="9"/>
    <n v="1.1666666666666667"/>
    <n v="0.11"/>
    <n v="2.6666666666666668E-2"/>
    <n v="11.133333333333333"/>
    <n v="0.93640000000000001"/>
    <n v="3.8159999999999993E-2"/>
    <n v="3.8909713168176672E-3"/>
    <n v="43.575000000000003"/>
    <n v="39.325000000000003"/>
    <n v="47.354653491530314"/>
    <n v="789.82014993102973"/>
    <n v="96.968751907348619"/>
    <n v="1524.6659104929031"/>
    <n v="0.58460397002496778"/>
    <n v="9.1918863211472939"/>
  </r>
  <r>
    <s v="2025-78"/>
    <x v="1"/>
    <s v="B"/>
    <n v="2012"/>
    <x v="9"/>
    <n v="1.3666666666666665"/>
    <n v="0.12"/>
    <n v="0.03"/>
    <n v="12.373333333333335"/>
    <n v="0.95120000000000005"/>
    <n v="2.9279999999999973E-2"/>
    <n v="3.4404120630673329E-3"/>
    <n v="44.325000000000003"/>
    <n v="36.17"/>
    <n v="35.523252792136617"/>
    <n v="636.79469376518455"/>
    <n v="63.343750819563866"/>
    <n v="1298.0276807287689"/>
    <n v="0.42819234613131957"/>
    <n v="8.7744333223631141"/>
  </r>
  <r>
    <s v="2025-79"/>
    <x v="1"/>
    <s v="B"/>
    <n v="2012"/>
    <x v="9"/>
    <n v="0.67333333333333334"/>
    <n v="0.19333333333333336"/>
    <n v="2.3333333333333334E-2"/>
    <n v="3.58"/>
    <n v="0.95140000000000002"/>
    <n v="2.9159999999999985E-2"/>
    <n v="3.5466645413248484E-3"/>
    <n v="41.1"/>
    <n v="32.9"/>
    <n v="32.790696045687028"/>
    <n v="855.34500295961436"/>
    <n v="79.687502741813645"/>
    <n v="1639.66055024308"/>
    <n v="0.45427973323069315"/>
    <n v="9.3473196138002752"/>
  </r>
  <r>
    <s v="2025-80"/>
    <x v="1"/>
    <s v="B"/>
    <n v="2012"/>
    <x v="9"/>
    <n v="1.3499999999999999"/>
    <n v="0.10999999999999999"/>
    <n v="3.6666666666666674E-2"/>
    <n v="12.426666666666668"/>
    <n v="0.94510000000000005"/>
    <n v="3.2939999999999969E-2"/>
    <n v="2.6301946344040039E-3"/>
    <n v="41.375"/>
    <n v="33.445"/>
    <n v="22.151162991690082"/>
    <n v="799.55098215625901"/>
    <n v="63.156249973922968"/>
    <n v="1150.3870669202738"/>
    <n v="0.38535061964797612"/>
    <n v="7.0191369699084971"/>
  </r>
  <r>
    <s v="2025-81"/>
    <x v="0"/>
    <s v="B"/>
    <n v="2034"/>
    <x v="10"/>
    <n v="0.95000000000000007"/>
    <n v="0.11333333333333333"/>
    <n v="3.6666666666666667E-2"/>
    <n v="8.5200000000000014"/>
    <n v="0.91339999999999999"/>
    <n v="5.1960000000000006E-2"/>
    <n v="7.5216471808788469E-3"/>
    <n v="33.625"/>
    <n v="18.004999999999999"/>
    <n v="44.03061188605367"/>
    <n v="1206.3181338644849"/>
    <n v="67.750000465661273"/>
    <n v="1856.1643963194881"/>
    <n v="0.36866998843245635"/>
    <n v="10.100547628286481"/>
  </r>
  <r>
    <s v="2025-82"/>
    <x v="0"/>
    <s v="B"/>
    <n v="2034"/>
    <x v="10"/>
    <n v="0.75666666666666649"/>
    <n v="5.6666666666666664E-2"/>
    <n v="3.6666666666666667E-2"/>
    <n v="13.280000000000001"/>
    <n v="0.9163"/>
    <n v="5.0219999999999994E-2"/>
    <n v="7.2138818483133233E-3"/>
    <n v="30.65"/>
    <n v="15.885"/>
    <n v="66.734693914043675"/>
    <n v="1332.0298186435855"/>
    <n v="59.437499452382312"/>
    <n v="1186.3772345784885"/>
    <n v="0.34272988611747346"/>
    <n v="6.8409158905683283"/>
  </r>
  <r>
    <s v="2025-83"/>
    <x v="0"/>
    <s v="B"/>
    <n v="2034"/>
    <x v="10"/>
    <n v="0.86333333333333329"/>
    <n v="9.3333333333333338E-2"/>
    <n v="3.3333333333333333E-2"/>
    <n v="9.49"/>
    <n v="0.9073"/>
    <n v="5.5620000000000003E-2"/>
    <n v="7.1105622721928247E-3"/>
    <n v="31.725000000000001"/>
    <n v="16.2"/>
    <n v="46.326531104895537"/>
    <n v="953.22080462748067"/>
    <n v="67.906250782310948"/>
    <n v="1397.2479584837649"/>
    <n v="0.41194161005538116"/>
    <n v="8.4761648159543483"/>
  </r>
  <r>
    <s v="2025-84"/>
    <x v="0"/>
    <s v="B"/>
    <n v="2034"/>
    <x v="10"/>
    <n v="0.77333333333333332"/>
    <n v="0.10333333333333333"/>
    <n v="0.02"/>
    <n v="7.413333333333334"/>
    <n v="0.91720000000000002"/>
    <n v="4.9679999999999988E-2"/>
    <n v="7.2816015555246388E-3"/>
    <n v="31.824999999999999"/>
    <n v="17.899999999999999"/>
    <n v="71.836737467318173"/>
    <n v="1502.860616471093"/>
    <n v="69.09374992921947"/>
    <n v="1445.4759399418313"/>
    <n v="0.37877050051867134"/>
    <n v="7.9240690485077758"/>
  </r>
  <r>
    <s v="2025-85"/>
    <x v="1"/>
    <s v="B"/>
    <n v="2012"/>
    <x v="10"/>
    <n v="1.0866666666666667"/>
    <n v="0.12666666666666668"/>
    <n v="1.6666666666666666E-2"/>
    <n v="8.5966666666666658"/>
    <n v="0.96350000000000002"/>
    <n v="2.1899999999999985E-2"/>
    <n v="4.5616026570815659E-3"/>
    <n v="43.875"/>
    <n v="38.020000000000003"/>
    <n v="86.071425220187834"/>
    <n v="993.89636512918969"/>
    <n v="104.43749984353781"/>
    <n v="1205.9757487706443"/>
    <n v="0.71667969492281836"/>
    <n v="8.2757470545360086"/>
  </r>
  <r>
    <s v="2025-86"/>
    <x v="1"/>
    <s v="B"/>
    <n v="2012"/>
    <x v="10"/>
    <n v="0.97666666666666668"/>
    <n v="0.12"/>
    <n v="0.01"/>
    <n v="8.0166666666666675"/>
    <n v="0.94989999999999997"/>
    <n v="3.0060000000000017E-2"/>
    <n v="4.8075043971082792E-3"/>
    <n v="43.65"/>
    <n v="37.424999999999997"/>
    <n v="104.2346900823165"/>
    <n v="1245.3367990718818"/>
    <n v="91.812500335276127"/>
    <n v="1096.9235404453541"/>
    <n v="0.66778386155302694"/>
    <n v="7.9783018106693779"/>
  </r>
  <r>
    <s v="2025-87"/>
    <x v="1"/>
    <s v="B"/>
    <n v="2012"/>
    <x v="10"/>
    <n v="1.0533333333333332"/>
    <n v="9.3333333333333338E-2"/>
    <n v="0.02"/>
    <n v="11"/>
    <n v="0.95140000000000002"/>
    <n v="2.9159999999999985E-2"/>
    <n v="5.1347386302212968E-3"/>
    <n v="44.5"/>
    <n v="37.924999999999997"/>
    <n v="94.38775567984095"/>
    <n v="1018.2066416379821"/>
    <n v="98.906249344348907"/>
    <n v="1066.949831114875"/>
    <n v="0.65423992310535328"/>
    <n v="7.0576043484935624"/>
  </r>
  <r>
    <s v="2025-88"/>
    <x v="1"/>
    <s v="B"/>
    <n v="2012"/>
    <x v="10"/>
    <n v="0.60666666666666658"/>
    <n v="0.17333333333333334"/>
    <n v="4.6666666666666669E-2"/>
    <n v="3.59"/>
    <n v="0.95220000000000005"/>
    <n v="2.8679999999999969E-2"/>
    <n v="4.5455432216779468E-3"/>
    <n v="44.7"/>
    <n v="39.150000000000006"/>
    <n v="88.010206940222773"/>
    <n v="1062.9252045920628"/>
    <n v="83.218749217689037"/>
    <n v="1005.0573577015587"/>
    <n v="0.54588862076469435"/>
    <n v="6.5928577387040397"/>
  </r>
  <r>
    <s v="2025-89"/>
    <x v="0"/>
    <s v="B"/>
    <n v="2034"/>
    <x v="11"/>
    <n v="0.69666666666666666"/>
    <n v="0.17666666666666667"/>
    <n v="0.02"/>
    <n v="4.21"/>
    <n v="0.91869999999999996"/>
    <n v="4.8780000000000025E-2"/>
    <n v="6.7915106117351154E-3"/>
    <n v="29.6"/>
    <n v="14.01"/>
    <n v="60.186571977031761"/>
    <n v="740.30223833987372"/>
    <n v="116.06249970197678"/>
    <n v="1427.5830221645354"/>
    <n v="0.51036477537209834"/>
    <n v="6.2775495125719321"/>
  </r>
  <r>
    <s v="2025-90"/>
    <x v="0"/>
    <s v="B"/>
    <n v="2034"/>
    <x v="11"/>
    <n v="0.85"/>
    <n v="0.10333333333333333"/>
    <n v="2.6666666666666668E-2"/>
    <n v="8.4366666666666674"/>
    <n v="0.91949999999999998"/>
    <n v="4.830000000000001E-2"/>
    <n v="5.9990181639669373E-3"/>
    <n v="32.625"/>
    <n v="18.630000000000003"/>
    <n v="40.298506444069872"/>
    <n v="500.602564522607"/>
    <n v="89.437500692903996"/>
    <n v="1111.0248533279998"/>
    <n v="0.50777945122212687"/>
    <n v="6.3078192698400839"/>
  </r>
  <r>
    <s v="2025-91"/>
    <x v="0"/>
    <s v="B"/>
    <n v="2034"/>
    <x v="11"/>
    <n v="0.7466666666666667"/>
    <n v="0.18999999999999997"/>
    <n v="6.6666666666666671E-3"/>
    <n v="3.9966666666666666"/>
    <n v="0.91569999999999996"/>
    <n v="5.0580000000000021E-2"/>
    <n v="6.3448462632147316E-3"/>
    <n v="31.200000000000003"/>
    <n v="15.025"/>
    <n v="43.582085735762298"/>
    <n v="516.98796839575652"/>
    <n v="82.625001788139343"/>
    <n v="980.13050756986127"/>
    <n v="0.47217258230752479"/>
    <n v="5.60109824801334"/>
  </r>
  <r>
    <s v="2025-92"/>
    <x v="0"/>
    <s v="B"/>
    <n v="2034"/>
    <x v="11"/>
    <n v="0.83666666666666678"/>
    <n v="0.10999999999999999"/>
    <n v="2.3333333333333331E-2"/>
    <n v="7.68"/>
    <n v="0.91859999999999997"/>
    <n v="4.8840000000000015E-2"/>
    <n v="5.6648957578684942E-3"/>
    <n v="30.450000000000003"/>
    <n v="16.990000000000002"/>
    <n v="38.955225143859629"/>
    <n v="478.56541945773483"/>
    <n v="74.7187529951334"/>
    <n v="917.920798466012"/>
    <n v="0.47863589268245332"/>
    <n v="5.8800478216517584"/>
  </r>
  <r>
    <s v="2025-93"/>
    <x v="1"/>
    <s v="B"/>
    <n v="2012"/>
    <x v="11"/>
    <n v="0.89666666666666661"/>
    <n v="7.3333333333333348E-2"/>
    <n v="0.03"/>
    <n v="13.333333333333334"/>
    <n v="0.95020000000000004"/>
    <n v="2.9879999999999973E-2"/>
    <n v="4.2207565431701911E-3"/>
    <n v="43.25"/>
    <n v="43.954999999999998"/>
    <n v="37.574624219047486"/>
    <n v="754.51052648689802"/>
    <n v="57.062499810010181"/>
    <n v="1145.8333295182777"/>
    <n v="0.35959386821078698"/>
    <n v="7.2207604058391022"/>
  </r>
  <r>
    <s v="2025-94"/>
    <x v="1"/>
    <s v="B"/>
    <n v="2012"/>
    <x v="11"/>
    <n v="0.95000000000000007"/>
    <n v="6.6666666666666666E-2"/>
    <n v="0.02"/>
    <n v="14.476666666666667"/>
    <n v="0.94830000000000003"/>
    <n v="3.1019999999999978E-2"/>
    <n v="4.3199999999998795E-3"/>
    <n v="42.674999999999997"/>
    <n v="35.855000000000004"/>
    <n v="52.201490064165476"/>
    <n v="1009.7000012411123"/>
    <n v="58.65625117719172"/>
    <n v="1134.550312905063"/>
    <n v="0.3411441027159931"/>
    <n v="6.5985319674273368"/>
  </r>
  <r>
    <s v="2025-95"/>
    <x v="1"/>
    <s v="B"/>
    <n v="2012"/>
    <x v="11"/>
    <n v="1.0566666666666666"/>
    <n v="0.08"/>
    <n v="3.3333333333333333E-2"/>
    <n v="12.936666666666667"/>
    <n v="0.94330000000000003"/>
    <n v="3.4019999999999981E-2"/>
    <n v="4.719976400118368E-3"/>
    <n v="45.2"/>
    <n v="37.33"/>
    <n v="62.126864408379163"/>
    <n v="1095.7118943276753"/>
    <n v="78.718750856816769"/>
    <n v="1388.3377576158166"/>
    <n v="0.34443452482195702"/>
    <n v="6.0746829774595623"/>
  </r>
  <r>
    <s v="2025-96"/>
    <x v="1"/>
    <s v="B"/>
    <n v="2012"/>
    <x v="11"/>
    <n v="0.91333333333333322"/>
    <n v="0.12"/>
    <n v="1.3333333333333334E-2"/>
    <n v="7.84"/>
    <n v="0.94330000000000003"/>
    <n v="3.4019999999999981E-2"/>
    <n v="4.9776258233196116E-3"/>
    <n v="41.725000000000001"/>
    <n v="32.42"/>
    <n v="34.141791449553928"/>
    <n v="602.1479973466304"/>
    <n v="69.281249426305294"/>
    <n v="1221.8915242734627"/>
    <n v="0.31963901781123566"/>
    <n v="5.6373724481699439"/>
  </r>
  <r>
    <s v="2025-97"/>
    <x v="0"/>
    <s v="B"/>
    <n v="2034"/>
    <x v="12"/>
    <n v="0.61"/>
    <n v="0.10666666666666667"/>
    <n v="3.3333333333333335E-3"/>
    <n v="5.7399999999999993"/>
    <n v="0.90569999999999995"/>
    <n v="5.6580000000000026E-2"/>
    <n v="5.8922392486402469E-3"/>
    <n v="28.925000000000001"/>
    <n v="11.495000000000001"/>
    <n v="38.607142750705989"/>
    <n v="409.40766437652138"/>
    <n v="79.562500603497014"/>
    <n v="843.71686748141008"/>
    <n v="0.41309985322865678"/>
    <n v="4.3806983375255202"/>
  </r>
  <r>
    <s v="2025-98"/>
    <x v="0"/>
    <s v="B"/>
    <n v="2034"/>
    <x v="12"/>
    <n v="0.67666666666666675"/>
    <n v="7.0000000000000007E-2"/>
    <n v="1.3333333333333334E-2"/>
    <n v="9.68"/>
    <n v="0.90759999999999996"/>
    <n v="5.5440000000000024E-2"/>
    <n v="5.4237821054492546E-3"/>
    <n v="30.675000000000001"/>
    <n v="15.52"/>
    <n v="60.642860182694029"/>
    <n v="656.30801063521653"/>
    <n v="80.59374943375586"/>
    <n v="872.22672547354796"/>
    <n v="0.46861222554119014"/>
    <n v="5.0715608824804104"/>
  </r>
  <r>
    <s v="2025-99"/>
    <x v="0"/>
    <s v="B"/>
    <n v="2034"/>
    <x v="12"/>
    <n v="0.48"/>
    <n v="0.18666666666666668"/>
    <n v="0.03"/>
    <n v="2.5866666666666664"/>
    <n v="0.90569999999999995"/>
    <n v="5.6580000000000026E-2"/>
    <n v="6.2449834576457511E-3"/>
    <n v="34"/>
    <n v="20.34"/>
    <n v="119.6428584115846"/>
    <n v="1268.7471729754457"/>
    <n v="82.906251326203332"/>
    <n v="879.17551777522044"/>
    <n v="0.62905316340474915"/>
    <n v="6.670765253496806"/>
  </r>
  <r>
    <s v="2026-100"/>
    <x v="0"/>
    <s v="B"/>
    <n v="2034"/>
    <x v="12"/>
    <n v="0.62"/>
    <n v="9.6666666666666679E-2"/>
    <n v="0.01"/>
    <n v="6.4533333333333331"/>
    <n v="0.90700000000000003"/>
    <n v="5.5799999999999982E-2"/>
    <n v="5.7061061218086359E-3"/>
    <n v="32.825000000000003"/>
    <n v="18.285"/>
    <n v="97.071425608226249"/>
    <n v="1043.7787699809278"/>
    <n v="80.093750283122048"/>
    <n v="861.22312132389322"/>
    <n v="0.43709470412455947"/>
    <n v="4.6999430551027919"/>
  </r>
  <r>
    <s v="2026-101"/>
    <x v="1"/>
    <s v="B"/>
    <n v="2012"/>
    <x v="12"/>
    <n v="0.87"/>
    <n v="8.666666666666667E-2"/>
    <n v="3.3333333333333335E-3"/>
    <n v="10.49"/>
    <n v="0.93559999999999999"/>
    <n v="3.8640000000000008E-2"/>
    <n v="3.0736384885797136E-3"/>
    <n v="45.099999999999994"/>
    <n v="43.004999999999995"/>
    <n v="188.21429290090288"/>
    <n v="2922.5821879022178"/>
    <n v="69.906250126659856"/>
    <n v="1085.5007783642832"/>
    <n v="0.30933852597742528"/>
    <n v="4.8033932605190248"/>
  </r>
  <r>
    <s v="2026-102"/>
    <x v="1"/>
    <s v="B"/>
    <n v="2012"/>
    <x v="12"/>
    <n v="0.81666666666666676"/>
    <n v="7.3333333333333334E-2"/>
    <n v="1.3333333333333334E-2"/>
    <n v="13.190000000000003"/>
    <n v="0.93969999999999998"/>
    <n v="3.6180000000000011E-2"/>
    <n v="2.8730399595351406E-3"/>
    <n v="40.400000000000006"/>
    <n v="32.75"/>
    <n v="151.92857107094358"/>
    <n v="2519.5451255546191"/>
    <n v="70.65625118091701"/>
    <n v="1171.7454590533498"/>
    <n v="0.40635540599798253"/>
    <n v="6.7388956218570879"/>
  </r>
  <r>
    <s v="2026-103"/>
    <x v="1"/>
    <s v="B"/>
    <n v="2012"/>
    <x v="12"/>
    <n v="0.73"/>
    <n v="7.0000000000000007E-2"/>
    <n v="0.02"/>
    <n v="10.363333333333333"/>
    <n v="0.93859999999999999"/>
    <n v="3.6840000000000005E-2"/>
    <n v="3.5885649772181756E-3"/>
    <n v="40.049999999999997"/>
    <n v="30.89"/>
    <n v="40.321428213800701"/>
    <n v="656.70078524105361"/>
    <n v="61.937500275671468"/>
    <n v="1008.754076151001"/>
    <n v="0.32036314332222343"/>
    <n v="5.2176407707202506"/>
  </r>
  <r>
    <s v="2026-104"/>
    <x v="1"/>
    <s v="B"/>
    <n v="2012"/>
    <x v="12"/>
    <n v="0.83666666666666678"/>
    <n v="0.10333333333333333"/>
    <n v="0.03"/>
    <n v="8.293333333333333"/>
    <n v="0.94299999999999995"/>
    <n v="3.4200000000000029E-2"/>
    <n v="2.9871278372801619E-3"/>
    <n v="37.325000000000003"/>
    <n v="25.15"/>
    <n v="52.999996066093445"/>
    <n v="929.82449238760341"/>
    <n v="61.499999854713664"/>
    <n v="1078.9473658721686"/>
    <n v="0.32788585249706614"/>
    <n v="5.7523833771415065"/>
  </r>
  <r>
    <s v="2026-105"/>
    <x v="0"/>
    <s v="B"/>
    <n v="2034"/>
    <x v="13"/>
    <n v="0.66"/>
    <n v="7.6666666666666661E-2"/>
    <n v="3.3333333333333333E-2"/>
    <n v="9.3666666666666671"/>
    <n v="0.90249999999999997"/>
    <n v="5.8500000000000017E-2"/>
    <n v="6.4442905509394495E-3"/>
    <n v="32.774999999999999"/>
    <n v="18.89"/>
    <n v="26.678568967751097"/>
    <n v="273.62634838719066"/>
    <n v="51.99999867379664"/>
    <n v="533.33331973124746"/>
    <n v="0.31672472649196581"/>
    <n v="3.2484587332509305"/>
  </r>
  <r>
    <s v="2026-106"/>
    <x v="0"/>
    <s v="B"/>
    <n v="2034"/>
    <x v="13"/>
    <n v="0.60666666666666669"/>
    <n v="5.6666666666666671E-2"/>
    <n v="2.3333333333333334E-2"/>
    <n v="10.92"/>
    <n v="0.89610000000000001"/>
    <n v="6.2339999999999993E-2"/>
    <n v="7.2542267961454542E-3"/>
    <n v="31.45"/>
    <n v="17.024999999999999"/>
    <n v="48.107141247817445"/>
    <n v="463.01387149006206"/>
    <n v="59.250000327825532"/>
    <n v="570.25986841025542"/>
    <n v="0.3879210209043461"/>
    <n v="3.7335998162112234"/>
  </r>
  <r>
    <s v="2026-107"/>
    <x v="0"/>
    <s v="B"/>
    <n v="2034"/>
    <x v="13"/>
    <n v="0.4466666666666666"/>
    <n v="0.11666666666666665"/>
    <n v="1.6666666666666666E-2"/>
    <n v="3.8466666666666662"/>
    <n v="0.88729999999999998"/>
    <n v="6.7620000000000013E-2"/>
    <n v="8.0498118477711142E-3"/>
    <n v="29.524999999999999"/>
    <n v="14.55"/>
    <n v="51.750001515660969"/>
    <n v="459.18368691802095"/>
    <n v="58.374999485909925"/>
    <n v="517.96805222635237"/>
    <n v="0.37921022781788538"/>
    <n v="3.3647757570353622"/>
  </r>
  <r>
    <s v="2026-108"/>
    <x v="0"/>
    <s v="B"/>
    <n v="2034"/>
    <x v="13"/>
    <n v="0.71333333333333337"/>
    <n v="5.6666666666666671E-2"/>
    <n v="0.04"/>
    <n v="13.116666666666667"/>
    <n v="0.89839999999999998"/>
    <n v="6.0960000000000014E-2"/>
    <n v="7.9103001809668963E-3"/>
    <n v="30"/>
    <n v="14.734999999999999"/>
    <n v="41.500000966446734"/>
    <n v="408.46457644140474"/>
    <n v="57.96875192224978"/>
    <n v="570.55858191190714"/>
    <n v="0.40336817725887142"/>
    <n v="3.9701592249888908"/>
  </r>
  <r>
    <s v="2026-109"/>
    <x v="1"/>
    <s v="B"/>
    <n v="2012"/>
    <x v="13"/>
    <n v="0.82333333333333325"/>
    <n v="0.08"/>
    <n v="2.6666666666666668E-2"/>
    <n v="11.26"/>
    <n v="0.94230000000000003"/>
    <n v="3.4619999999999984E-2"/>
    <n v="3.3337278573400586E-3"/>
    <n v="44.55"/>
    <n v="39.01"/>
    <n v="28.750000672680994"/>
    <n v="498.26690940521678"/>
    <n v="33.1562509983778"/>
    <n v="574.63173307413888"/>
    <n v="0.26120788040338361"/>
    <n v="4.5269996603706018"/>
  </r>
  <r>
    <s v="2026-110"/>
    <x v="1"/>
    <s v="B"/>
    <n v="2012"/>
    <x v="13"/>
    <n v="0.77666666666666673"/>
    <n v="6.3333333333333339E-2"/>
    <n v="3.3333333333333333E-2"/>
    <n v="12.393333333333333"/>
    <n v="0.94220000000000004"/>
    <n v="3.4679999999999975E-2"/>
    <n v="4.0752923976597605E-3"/>
    <n v="42"/>
    <n v="27.83"/>
    <n v="30.071427664586473"/>
    <n v="520.2669146122231"/>
    <n v="38.593749910593033"/>
    <n v="667.71193616943003"/>
    <n v="0.30836235405260681"/>
    <n v="5.3349888244395673"/>
  </r>
  <r>
    <s v="2026-111"/>
    <x v="1"/>
    <s v="B"/>
    <n v="2012"/>
    <x v="13"/>
    <n v="0.58333333333333337"/>
    <n v="0.12"/>
    <n v="6.6666666666666671E-3"/>
    <n v="5.05"/>
    <n v="0.94110000000000005"/>
    <n v="3.5339999999999969E-2"/>
    <n v="3.5579063528610902E-3"/>
    <n v="45.674999999999997"/>
    <n v="42.805"/>
    <n v="25.678570666483473"/>
    <n v="435.9689417060016"/>
    <n v="35.812501724809408"/>
    <n v="608.02210059099218"/>
    <n v="0.28780487821492584"/>
    <n v="4.8863306997440761"/>
  </r>
  <r>
    <s v="2026-112"/>
    <x v="1"/>
    <s v="B"/>
    <n v="2012"/>
    <x v="13"/>
    <n v="0.70000000000000007"/>
    <n v="0.10333333333333333"/>
    <n v="4.3333333333333335E-2"/>
    <n v="6.916666666666667"/>
    <n v="0.9405"/>
    <n v="3.5699999999999996E-2"/>
    <n v="4.3352850752201152E-3"/>
    <n v="37.825000000000003"/>
    <n v="24.46"/>
    <n v="32.821428980146138"/>
    <n v="551.62065512850654"/>
    <n v="44.906254321336739"/>
    <n v="754.72696338381081"/>
    <n v="0.34831591510883469"/>
    <n v="5.8540489934257938"/>
  </r>
  <r>
    <s v="2026-113"/>
    <x v="0"/>
    <s v="B"/>
    <n v="2034"/>
    <x v="14"/>
    <n v="0.58666666666666656"/>
    <n v="0.11666666666666665"/>
    <n v="0.03"/>
    <n v="5.45"/>
    <n v="0.92069999999999996"/>
    <n v="4.7580000000000018E-2"/>
    <n v="5.2347778171373937E-3"/>
    <n v="31.45"/>
    <n v="16.914999999999999"/>
    <n v="19.852940514683723"/>
    <n v="250.35233940332552"/>
    <n v="45.343748003244393"/>
    <n v="571.80010092363648"/>
    <n v="0.31923848946227545"/>
    <n v="4.0257060461825382"/>
  </r>
  <r>
    <s v="2026-114"/>
    <x v="0"/>
    <s v="B"/>
    <n v="2034"/>
    <x v="14"/>
    <n v="0.61"/>
    <n v="7.0000000000000007E-2"/>
    <n v="3.6666666666666667E-2"/>
    <n v="8.6233333333333331"/>
    <n v="0.88600000000000001"/>
    <n v="6.8399999999999989E-2"/>
    <n v="5.7297635170332414E-3"/>
    <n v="31.7"/>
    <n v="18.82"/>
    <n v="38.161764442920685"/>
    <n v="334.75231967474286"/>
    <n v="46.156250115483992"/>
    <n v="404.87938697792981"/>
    <n v="0.35619063698334885"/>
    <n v="3.1244792717837622"/>
  </r>
  <r>
    <s v="2026-115"/>
    <x v="0"/>
    <s v="B"/>
    <n v="2034"/>
    <x v="14"/>
    <n v="0.65"/>
    <n v="0.10666666666666667"/>
    <n v="0.03"/>
    <n v="6.3566666666666665"/>
    <n v="0.90410000000000001"/>
    <n v="5.7539999999999987E-2"/>
    <n v="4.7704885198745269E-3"/>
    <n v="32.549999999999997"/>
    <n v="19.600000000000001"/>
    <n v="40.588237757191941"/>
    <n v="423.23501310940509"/>
    <n v="56.812501221895204"/>
    <n v="592.41398562977281"/>
    <n v="0.44389354390298186"/>
    <n v="4.6287126580081539"/>
  </r>
  <r>
    <s v="2026-116"/>
    <x v="0"/>
    <s v="B"/>
    <n v="2034"/>
    <x v="14"/>
    <n v="0.6"/>
    <n v="7.0000000000000007E-2"/>
    <n v="1.6666666666666666E-2"/>
    <n v="8.9433333333333334"/>
    <n v="0.90820000000000001"/>
    <n v="5.5079999999999997E-2"/>
    <n v="4.7341377518618074E-3"/>
    <n v="30.65"/>
    <n v="16.425000000000001"/>
    <n v="28.970588520169258"/>
    <n v="315.58375294302027"/>
    <n v="54.281250283122048"/>
    <n v="591.29902269196134"/>
    <n v="0.41267129328739449"/>
    <n v="4.495329992237413"/>
  </r>
  <r>
    <s v="2026-117"/>
    <x v="1"/>
    <s v="B"/>
    <n v="2012"/>
    <x v="14"/>
    <n v="0.64"/>
    <n v="7.3333333333333334E-2"/>
    <n v="0.04"/>
    <n v="8.7933333333333348"/>
    <n v="0.94330000000000003"/>
    <n v="3.4019999999999981E-2"/>
    <n v="2.757352941177143E-3"/>
    <n v="40.549999999999997"/>
    <n v="33.125"/>
    <n v="23.272058516740799"/>
    <n v="410.44194914886788"/>
    <n v="35.624998796731234"/>
    <n v="628.3068570852073"/>
    <n v="0.31046820922531093"/>
    <n v="5.4756297923335291"/>
  </r>
  <r>
    <s v="2026-118"/>
    <x v="1"/>
    <s v="B"/>
    <n v="2012"/>
    <x v="14"/>
    <n v="0.57666666666666666"/>
    <n v="0.10666666666666667"/>
    <n v="4.3333333333333335E-2"/>
    <n v="5.3166666666666664"/>
    <n v="0.94879999999999998"/>
    <n v="3.0720000000000011E-2"/>
    <n v="2.5012118274347658E-3"/>
    <n v="41.025000000000006"/>
    <n v="33.42"/>
    <n v="25.698529091828011"/>
    <n v="501.92439632476561"/>
    <n v="41.968749079853289"/>
    <n v="819.70213046588424"/>
    <n v="0.31970624610557924"/>
    <n v="6.244262619249592"/>
  </r>
  <r>
    <s v="2026-119"/>
    <x v="1"/>
    <s v="B"/>
    <n v="2012"/>
    <x v="14"/>
    <n v="0.78666666666666674"/>
    <n v="8.666666666666667E-2"/>
    <n v="0.04"/>
    <n v="9.3433333333333337"/>
    <n v="0.93920000000000003"/>
    <n v="3.6479999999999978E-2"/>
    <n v="3.3792565635559564E-3"/>
    <n v="42.05"/>
    <n v="34.590000000000003"/>
    <n v="39.044115885215646"/>
    <n v="642.17295863841559"/>
    <n v="48.593747138977044"/>
    <n v="799.23926215422819"/>
    <n v="0.32871036981419993"/>
    <n v="5.4064205561546075"/>
  </r>
  <r>
    <s v="2026-120"/>
    <x v="1"/>
    <s v="B"/>
    <n v="2012"/>
    <x v="14"/>
    <n v="0.52666666666666673"/>
    <n v="8.666666666666667E-2"/>
    <n v="2.3333333333333331E-2"/>
    <n v="5.9899999999999993"/>
    <n v="0.94320000000000004"/>
    <n v="3.4079999999999978E-2"/>
    <n v="3.0864197530865367E-3"/>
    <n v="39.799999999999997"/>
    <n v="30.055"/>
    <n v="19.963236499358626"/>
    <n v="351.46543132673662"/>
    <n v="34.593749966472387"/>
    <n v="609.04489377592267"/>
    <n v="0.28415729881442564"/>
    <n v="5.0027693453243982"/>
  </r>
  <r>
    <s v="2026-121"/>
    <x v="0"/>
    <s v="B"/>
    <n v="2034"/>
    <x v="15"/>
    <n v="0.44"/>
    <n v="0.21666666666666667"/>
    <n v="7.6666666666666675E-2"/>
    <n v="2.9966666666666661"/>
    <n v="0.91739999999999999"/>
    <n v="4.956E-2"/>
    <n v="4.8598575764180257E-3"/>
    <n v="32.274999999999999"/>
    <n v="19.515000000000001"/>
    <n v="61.336207939633013"/>
    <n v="742.56910338538751"/>
    <n v="52.031250908970819"/>
    <n v="629.91829187615997"/>
    <n v="0.36464714014394278"/>
    <n v="4.4146142874569341"/>
  </r>
  <r>
    <s v="2026-122"/>
    <x v="0"/>
    <s v="B"/>
    <n v="2034"/>
    <x v="15"/>
    <n v="0.6166666666666667"/>
    <n v="0.15333333333333332"/>
    <n v="0.02"/>
    <n v="4.3466666666666667"/>
    <n v="0.91710000000000003"/>
    <n v="4.9739999999999986E-2"/>
    <n v="5.5667439297790808E-3"/>
    <n v="30.824999999999999"/>
    <n v="17.274999999999999"/>
    <n v="70.129309296607985"/>
    <n v="845.95065496511472"/>
    <n v="45.562498509883874"/>
    <n v="549.60794342441363"/>
    <n v="0.35286914327305707"/>
    <n v="4.256563851303464"/>
  </r>
  <r>
    <s v="2026-123"/>
    <x v="0"/>
    <s v="B"/>
    <n v="2034"/>
    <x v="15"/>
    <n v="0.65333333333333332"/>
    <n v="0.12333333333333334"/>
    <n v="2.6666666666666668E-2"/>
    <n v="5.6099999999999994"/>
    <n v="0.91469999999999996"/>
    <n v="5.1180000000000024E-2"/>
    <n v="5.8058601840229448E-3"/>
    <n v="31.2"/>
    <n v="17.940000000000001"/>
    <n v="58.620686479683592"/>
    <n v="687.22961875361739"/>
    <n v="48.499997012317174"/>
    <n v="568.58144211391732"/>
    <n v="0.31647506133557318"/>
    <n v="3.7101413990102348"/>
  </r>
  <r>
    <s v="2026-124"/>
    <x v="0"/>
    <s v="B"/>
    <n v="2034"/>
    <x v="15"/>
    <n v="0.57666666666666666"/>
    <n v="0.12666666666666668"/>
    <n v="2.3333333333333334E-2"/>
    <n v="4.9200000000000008"/>
    <n v="0.90739999999999998"/>
    <n v="5.5560000000000005E-2"/>
    <n v="5.8684156846743503E-3"/>
    <n v="31.875"/>
    <n v="19.844999999999999"/>
    <n v="70.21551765244584"/>
    <n v="758.26692929207161"/>
    <n v="49.18749933689832"/>
    <n v="531.18249823864267"/>
    <n v="0.38007632868123498"/>
    <n v="4.1044959900781306"/>
  </r>
  <r>
    <s v="2026-125"/>
    <x v="1"/>
    <s v="B"/>
    <n v="2012"/>
    <x v="15"/>
    <n v="0.54999999999999993"/>
    <n v="0.12"/>
    <n v="2.3333333333333334E-2"/>
    <n v="4.8166666666666664"/>
    <n v="0.94430000000000003"/>
    <n v="3.3419999999999984E-2"/>
    <n v="3.4715334259076895E-3"/>
    <n v="44.325000000000003"/>
    <n v="39.61"/>
    <n v="37.931034338885347"/>
    <n v="680.98804917208918"/>
    <n v="34.53125036880374"/>
    <n v="619.95063498750017"/>
    <n v="0.24062470392110186"/>
    <n v="4.3200126377217591"/>
  </r>
  <r>
    <s v="2026-126"/>
    <x v="1"/>
    <s v="B"/>
    <n v="2012"/>
    <x v="15"/>
    <n v="0.54333333333333333"/>
    <n v="7.333333333333332E-2"/>
    <n v="4.3333333333333335E-2"/>
    <n v="8.8133333333333344"/>
    <n v="0.94159999999999999"/>
    <n v="3.5040000000000002E-2"/>
    <n v="4.6429599769645686E-3"/>
    <n v="42.575000000000003"/>
    <n v="35.915000000000006"/>
    <n v="38.1034478391039"/>
    <n v="652.45629861479267"/>
    <n v="35.937500890344381"/>
    <n v="615.36816593055437"/>
    <n v="0.26524075388650054"/>
    <n v="4.5417937309332279"/>
  </r>
  <r>
    <s v="2026-127"/>
    <x v="1"/>
    <s v="B"/>
    <n v="2012"/>
    <x v="15"/>
    <n v="0.70666666666666667"/>
    <n v="0.10999999999999999"/>
    <n v="2.3333333333333334E-2"/>
    <n v="6.956666666666667"/>
    <n v="0.93859999999999999"/>
    <n v="3.6840000000000005E-2"/>
    <n v="3.8015019659732394E-3"/>
    <n v="40.849999999999994"/>
    <n v="33.35"/>
    <n v="36.422413803380117"/>
    <n v="593.19892187915491"/>
    <n v="34.499999839812517"/>
    <n v="561.88924820541547"/>
    <n v="0.30057474449915778"/>
    <n v="4.8953541449374223"/>
  </r>
  <r>
    <s v="2026-128"/>
    <x v="1"/>
    <s v="B"/>
    <n v="2012"/>
    <x v="15"/>
    <n v="0.57333333333333336"/>
    <n v="7.0000000000000007E-2"/>
    <n v="0.04"/>
    <n v="8.5833333333333339"/>
    <n v="0.93940000000000001"/>
    <n v="3.635999999999999E-2"/>
    <n v="4.7474196894837662E-3"/>
    <n v="42.024999999999999"/>
    <n v="35.799999999999997"/>
    <n v="32.629310375657582"/>
    <n v="538.43746494484469"/>
    <n v="31.031249329447739"/>
    <n v="512.06682061794959"/>
    <n v="0.21600865395570321"/>
    <n v="3.56449924019312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EAF16-3F59-48C5-80B6-AA7D4B3709EE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2">
  <location ref="A1:S20" firstHeaderRow="1" firstDataRow="3" firstDataCol="1"/>
  <pivotFields count="20">
    <pivotField showAll="0"/>
    <pivotField axis="axisCol" showAll="0" sortType="descending">
      <items count="4">
        <item h="1" m="1" x="2"/>
        <item x="0"/>
        <item x="1"/>
        <item t="default"/>
      </items>
    </pivotField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1"/>
    <field x="-2"/>
  </colFields>
  <colItems count="18"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Mittelwert von ChlM" fld="5" subtotal="average" baseField="4" baseItem="0"/>
    <dataField name="Mittelwert von FlvM" fld="6" subtotal="average" baseField="4" baseItem="0"/>
    <dataField name="Mittelwert von AnthM" fld="7" subtotal="average" baseField="4" baseItem="0"/>
    <dataField name="Mittelwert von NFI" fld="8" subtotal="average" baseField="4" baseItem="0"/>
    <dataField name="Mittelwert von Water Content (% of weight)" fld="9" subtotal="average" baseField="4" baseItem="0"/>
    <dataField name="Mittelwert von Minerals (% of weight)" fld="11" subtotal="average" baseField="4" baseItem="0"/>
  </dataFields>
  <formats count="39">
    <format dxfId="6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2" selected="0">
            <x v="1"/>
            <x v="2"/>
          </reference>
          <reference field="4" count="4">
            <x v="0"/>
            <x v="1"/>
            <x v="2"/>
            <x v="3"/>
          </reference>
        </references>
      </pivotArea>
    </format>
    <format dxfId="62">
      <pivotArea collapsedLevelsAreSubtotals="1" fieldPosition="0">
        <references count="3">
          <reference field="4294967294" count="2" selected="0">
            <x v="4"/>
            <x v="5"/>
          </reference>
          <reference field="1" count="1" selected="0">
            <x v="2"/>
          </reference>
          <reference field="4" count="0"/>
        </references>
      </pivotArea>
    </format>
    <format dxfId="61">
      <pivotArea collapsedLevelsAreSubtotals="1" fieldPosition="0">
        <references count="3">
          <reference field="4294967294" count="2" selected="0">
            <x v="4"/>
            <x v="5"/>
          </reference>
          <reference field="1" count="1" selected="0">
            <x v="1"/>
          </reference>
          <reference field="4" count="0"/>
        </references>
      </pivotArea>
    </format>
    <format dxfId="60">
      <pivotArea field="4" grandCol="1" collapsedLevelsAreSubtotals="1" axis="axisRow" fieldPosition="0">
        <references count="2">
          <reference field="4294967294" count="6" selected="0">
            <x v="0"/>
            <x v="1"/>
            <x v="2"/>
            <x v="3"/>
            <x v="4"/>
            <x v="5"/>
          </reference>
          <reference field="4" count="0"/>
        </references>
      </pivotArea>
    </format>
    <format dxfId="59">
      <pivotArea field="4" grandCol="1" collapsedLevelsAreSubtotals="1" axis="axisRow" fieldPosition="0">
        <references count="2">
          <reference field="4294967294" count="1" selected="0">
            <x v="5"/>
          </reference>
          <reference field="4" count="0"/>
        </references>
      </pivotArea>
    </format>
    <format dxfId="58">
      <pivotArea field="4" grandCol="1" collapsedLevelsAreSubtotals="1" axis="axisRow" fieldPosition="0">
        <references count="2">
          <reference field="4294967294" count="1" selected="0">
            <x v="4"/>
          </reference>
          <reference field="4" count="0"/>
        </references>
      </pivotArea>
    </format>
    <format dxfId="57">
      <pivotArea field="4" type="button" dataOnly="0" labelOnly="1" outline="0" axis="axisRow" fieldPosition="0"/>
    </format>
    <format dxfId="56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5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4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3">
      <pivotArea field="1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52">
      <pivotArea field="1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51">
      <pivotArea field="1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50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1"/>
          </reference>
        </references>
      </pivotArea>
    </format>
    <format dxfId="49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2"/>
          </reference>
        </references>
      </pivotArea>
    </format>
    <format dxfId="48">
      <pivotArea dataOnly="0" labelOnly="1" fieldPosition="0">
        <references count="1">
          <reference field="1" count="1">
            <x v="2"/>
          </reference>
        </references>
      </pivotArea>
    </format>
    <format dxfId="47">
      <pivotArea dataOnly="0" labelOnly="1" fieldPosition="0">
        <references count="1">
          <reference field="1" count="1">
            <x v="1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>
            <x v="4"/>
          </reference>
        </references>
      </pivotArea>
    </format>
    <format dxfId="45">
      <pivotArea collapsedLevelsAreSubtotals="1" fieldPosition="0">
        <references count="3">
          <reference field="4294967294" count="2" selected="0">
            <x v="1"/>
            <x v="2"/>
          </reference>
          <reference field="1" count="1" selected="0">
            <x v="1"/>
          </reference>
          <reference field="4" count="1">
            <x v="4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1"/>
          </reference>
          <reference field="4" count="1">
            <x v="4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>
            <x v="4"/>
          </reference>
        </references>
      </pivotArea>
    </format>
    <format dxfId="42">
      <pivotArea collapsedLevelsAreSubtotals="1" fieldPosition="0">
        <references count="3">
          <reference field="4294967294" count="2" selected="0">
            <x v="2"/>
            <x v="3"/>
          </reference>
          <reference field="1" count="1" selected="0">
            <x v="2"/>
          </reference>
          <reference field="4" count="1">
            <x v="4"/>
          </reference>
        </references>
      </pivotArea>
    </format>
    <format dxfId="41">
      <pivotArea field="1" grandRow="1" outline="0" collapsedLevelsAreSubtotals="1" axis="axisCol" fieldPosition="0">
        <references count="2">
          <reference field="4294967294" count="2" selected="0">
            <x v="4"/>
            <x v="5"/>
          </reference>
          <reference field="1" count="1" selected="0">
            <x v="1"/>
          </reference>
        </references>
      </pivotArea>
    </format>
    <format dxfId="40">
      <pivotArea grandRow="1" grandCol="1"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39">
      <pivotArea collapsedLevelsAreSubtotals="1" fieldPosition="0">
        <references count="3">
          <reference field="4294967294" count="6" selected="0">
            <x v="0"/>
            <x v="1"/>
            <x v="2"/>
            <x v="3"/>
            <x v="4"/>
            <x v="5"/>
          </reference>
          <reference field="1" count="1" selected="0">
            <x v="1"/>
          </reference>
          <reference field="4" count="1">
            <x v="5"/>
          </reference>
        </references>
      </pivotArea>
    </format>
    <format dxfId="3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1" selected="0">
            <x v="2"/>
          </reference>
          <reference field="4" count="1">
            <x v="5"/>
          </reference>
        </references>
      </pivotArea>
    </format>
    <format dxfId="37">
      <pivotArea collapsedLevelsAreSubtotals="1" fieldPosition="0">
        <references count="3">
          <reference field="4294967294" count="2" selected="0">
            <x v="4"/>
            <x v="5"/>
          </reference>
          <reference field="1" count="1" selected="0">
            <x v="1"/>
          </reference>
          <reference field="4" count="1">
            <x v="5"/>
          </reference>
        </references>
      </pivotArea>
    </format>
    <format dxfId="3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1" selected="0">
            <x v="1"/>
          </reference>
          <reference field="4" count="1">
            <x v="6"/>
          </reference>
        </references>
      </pivotArea>
    </format>
    <format dxfId="3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1" selected="0">
            <x v="2"/>
          </reference>
          <reference field="4" count="1">
            <x v="6"/>
          </reference>
        </references>
      </pivotArea>
    </format>
    <format dxfId="3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1" selected="0">
            <x v="1"/>
          </reference>
          <reference field="4" count="1">
            <x v="7"/>
          </reference>
        </references>
      </pivotArea>
    </format>
    <format dxfId="33">
      <pivotArea collapsedLevelsAreSubtotals="1" fieldPosition="0">
        <references count="3">
          <reference field="4294967294" count="6" selected="0">
            <x v="0"/>
            <x v="1"/>
            <x v="2"/>
            <x v="3"/>
            <x v="4"/>
            <x v="5"/>
          </reference>
          <reference field="1" count="1" selected="0">
            <x v="1"/>
          </reference>
          <reference field="4" count="1">
            <x v="13"/>
          </reference>
        </references>
      </pivotArea>
    </format>
    <format dxfId="32">
      <pivotArea collapsedLevelsAreSubtotals="1" fieldPosition="0">
        <references count="3">
          <reference field="4294967294" count="2" selected="0">
            <x v="4"/>
            <x v="5"/>
          </reference>
          <reference field="1" count="1" selected="0">
            <x v="1"/>
          </reference>
          <reference field="4" count="1">
            <x v="13"/>
          </reference>
        </references>
      </pivotArea>
    </format>
    <format dxfId="3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1" selected="0">
            <x v="2"/>
          </reference>
          <reference field="4" count="1">
            <x v="7"/>
          </reference>
        </references>
      </pivotArea>
    </format>
    <format dxfId="3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1" selected="0">
            <x v="1"/>
          </reference>
          <reference field="4" count="5">
            <x v="9"/>
            <x v="10"/>
            <x v="11"/>
            <x v="12"/>
            <x v="13"/>
          </reference>
        </references>
      </pivotArea>
    </format>
    <format dxfId="2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1" selected="0">
            <x v="2"/>
          </reference>
          <reference field="4" count="5">
            <x v="9"/>
            <x v="10"/>
            <x v="11"/>
            <x v="12"/>
            <x v="13"/>
          </reference>
        </references>
      </pivotArea>
    </format>
    <format dxfId="28">
      <pivotArea collapsedLevelsAreSubtotals="1" fieldPosition="0">
        <references count="3">
          <reference field="4294967294" count="6" selected="0">
            <x v="0"/>
            <x v="1"/>
            <x v="2"/>
            <x v="3"/>
            <x v="4"/>
            <x v="5"/>
          </reference>
          <reference field="1" count="1" selected="0">
            <x v="1"/>
          </reference>
          <reference field="4" count="2">
            <x v="14"/>
            <x v="15"/>
          </reference>
        </references>
      </pivotArea>
    </format>
    <format dxfId="2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" count="1" selected="0">
            <x v="2"/>
          </reference>
          <reference field="4" count="2">
            <x v="14"/>
            <x v="15"/>
          </reference>
        </references>
      </pivotArea>
    </format>
    <format dxfId="26">
      <pivotArea collapsedLevelsAreSubtotals="1" fieldPosition="0">
        <references count="3">
          <reference field="4294967294" count="1" selected="0">
            <x v="4"/>
          </reference>
          <reference field="1" count="1" selected="0">
            <x v="1"/>
          </reference>
          <reference field="4" count="2">
            <x v="14"/>
            <x v="15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5"/>
          </reference>
          <reference field="1" count="1" selected="0">
            <x v="1"/>
          </reference>
          <reference field="4" count="2"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3468F-B4AA-4B76-A88E-FF9DFD723EEC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J22" firstHeaderRow="1" firstDataRow="3" firstDataCol="1"/>
  <pivotFields count="20">
    <pivotField showAll="0"/>
    <pivotField axis="axisCol" showAll="0" sortType="descending">
      <items count="4">
        <item h="1" m="1" x="2"/>
        <item x="0"/>
        <item x="1"/>
        <item t="default"/>
      </items>
    </pivotField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1"/>
    <field x="-2"/>
  </colFields>
  <colItems count="9"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Mittelwert von Vitamin C – Dry Matter (mg/100 g)" fld="15" subtotal="average" baseField="4" baseItem="0"/>
    <dataField name="Mittelwert von Total Phenols – Dry Matter (mg GAE/100 g)" fld="17" subtotal="average" baseField="4" baseItem="0"/>
    <dataField name="Mittelwert von Antioxidant Capacity – Dry Matter (mmol TAE/100 g)" fld="19" subtotal="average" baseField="4" baseItem="0"/>
  </dataFields>
  <formats count="14">
    <format dxfId="24">
      <pivotArea collapsedLevelsAreSubtotals="1" fieldPosition="0">
        <references count="1">
          <reference field="4" count="6">
            <x v="0"/>
            <x v="1"/>
            <x v="2"/>
            <x v="3"/>
            <x v="4"/>
            <x v="5"/>
          </reference>
        </references>
      </pivotArea>
    </format>
    <format dxfId="23">
      <pivotArea collapsedLevelsAreSubtotals="1" fieldPosition="0">
        <references count="1">
          <reference field="4" count="1">
            <x v="6"/>
          </reference>
        </references>
      </pivotArea>
    </format>
    <format dxfId="22">
      <pivotArea dataOnly="0" labelOnly="1" fieldPosition="0">
        <references count="1">
          <reference field="4" count="1">
            <x v="6"/>
          </reference>
        </references>
      </pivotArea>
    </format>
    <format dxfId="21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4" count="1">
            <x v="7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>
            <x v="7"/>
          </reference>
        </references>
      </pivotArea>
    </format>
    <format dxfId="19">
      <pivotArea collapsedLevelsAreSubtotals="1" fieldPosition="0">
        <references count="3">
          <reference field="4294967294" count="2" selected="0">
            <x v="1"/>
            <x v="2"/>
          </reference>
          <reference field="1" count="1" selected="0">
            <x v="2"/>
          </reference>
          <reference field="4" count="1">
            <x v="7"/>
          </reference>
        </references>
      </pivotArea>
    </format>
    <format dxfId="18">
      <pivotArea field="4" grandCol="1" collapsedLevelsAreSubtotals="1" axis="axisRow" fieldPosition="0">
        <references count="2">
          <reference field="4294967294" count="3" selected="0">
            <x v="0"/>
            <x v="1"/>
            <x v="2"/>
          </reference>
          <reference field="4" count="1">
            <x v="7"/>
          </reference>
        </references>
      </pivotArea>
    </format>
    <format dxfId="17">
      <pivotArea collapsedLevelsAreSubtotals="1" fieldPosition="0">
        <references count="1">
          <reference field="4" count="1">
            <x v="8"/>
          </reference>
        </references>
      </pivotArea>
    </format>
    <format dxfId="16">
      <pivotArea collapsedLevelsAreSubtotals="1" fieldPosition="0">
        <references count="1">
          <reference field="4" count="1">
            <x v="9"/>
          </reference>
        </references>
      </pivotArea>
    </format>
    <format dxfId="15">
      <pivotArea grandRow="1" outline="0" collapsedLevelsAreSubtotals="1" fieldPosition="0"/>
    </format>
    <format dxfId="14">
      <pivotArea collapsedLevelsAreSubtotals="1" fieldPosition="0">
        <references count="1">
          <reference field="4" count="2">
            <x v="10"/>
            <x v="11"/>
          </reference>
        </references>
      </pivotArea>
    </format>
    <format dxfId="13">
      <pivotArea collapsedLevelsAreSubtotals="1" fieldPosition="0">
        <references count="1">
          <reference field="4" count="2">
            <x v="12"/>
            <x v="13"/>
          </reference>
        </references>
      </pivotArea>
    </format>
    <format dxfId="12">
      <pivotArea collapsedLevelsAreSubtotals="1" fieldPosition="0">
        <references count="1">
          <reference field="4" count="1">
            <x v="14"/>
          </reference>
        </references>
      </pivotArea>
    </format>
    <format dxfId="11">
      <pivotArea collapsedLevelsAreSubtotals="1" fieldPosition="0">
        <references count="1">
          <reference field="4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4A47F-3092-4F4A-8BDB-4B0CD5D773C9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1:G20" firstHeaderRow="1" firstDataRow="3" firstDataCol="1"/>
  <pivotFields count="20">
    <pivotField showAll="0"/>
    <pivotField axis="axisCol" showAll="0" sortType="descending">
      <items count="4">
        <item h="1" m="1" x="2"/>
        <item x="0"/>
        <item x="1"/>
        <item t="default"/>
      </items>
    </pivotField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1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Mittelwert von Size Ø (mm)" fld="12" subtotal="average" baseField="4" baseItem="0"/>
    <dataField name="Mittelwert von Weight (g)" fld="13" subtotal="average" baseField="4" baseItem="0"/>
  </dataFields>
  <formats count="11">
    <format dxfId="10">
      <pivotArea collapsedLevelsAreSubtotals="1" fieldPosition="0">
        <references count="1">
          <reference field="4" count="2">
            <x v="4"/>
            <x v="5"/>
          </reference>
        </references>
      </pivotArea>
    </format>
    <format dxfId="9">
      <pivotArea grandRow="1" outline="0" collapsedLevelsAreSubtotals="1" fieldPosition="0"/>
    </format>
    <format dxfId="8">
      <pivotArea collapsedLevelsAreSubtotals="1" fieldPosition="0">
        <references count="1">
          <reference field="4" count="1">
            <x v="6"/>
          </reference>
        </references>
      </pivotArea>
    </format>
    <format dxfId="7">
      <pivotArea collapsedLevelsAreSubtotals="1" fieldPosition="0">
        <references count="1">
          <reference field="4" count="1">
            <x v="7"/>
          </reference>
        </references>
      </pivotArea>
    </format>
    <format dxfId="6">
      <pivotArea collapsedLevelsAreSubtotals="1" fieldPosition="0">
        <references count="1">
          <reference field="4" count="1">
            <x v="8"/>
          </reference>
        </references>
      </pivotArea>
    </format>
    <format dxfId="5">
      <pivotArea collapsedLevelsAreSubtotals="1" fieldPosition="0">
        <references count="1">
          <reference field="4" count="1">
            <x v="9"/>
          </reference>
        </references>
      </pivotArea>
    </format>
    <format dxfId="4">
      <pivotArea collapsedLevelsAreSubtotals="1" fieldPosition="0">
        <references count="1">
          <reference field="4" count="2">
            <x v="10"/>
            <x v="11"/>
          </reference>
        </references>
      </pivotArea>
    </format>
    <format dxfId="3">
      <pivotArea collapsedLevelsAreSubtotals="1" fieldPosition="0">
        <references count="1">
          <reference field="4" count="2">
            <x v="12"/>
            <x v="13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>
            <x v="9"/>
          </reference>
        </references>
      </pivotArea>
    </format>
    <format dxfId="1">
      <pivotArea collapsedLevelsAreSubtotals="1" fieldPosition="0">
        <references count="1">
          <reference field="4" count="1">
            <x v="14"/>
          </reference>
        </references>
      </pivotArea>
    </format>
    <format dxfId="0">
      <pivotArea collapsedLevelsAreSubtotals="1" fieldPosition="0">
        <references count="1">
          <reference field="4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617291-241D-45E7-9B96-930A0C27E63F}" name="Tabelle2" displayName="Tabelle2" ref="A1:T129" totalsRowShown="0" dataDxfId="90">
  <autoFilter ref="A1:T129" xr:uid="{76617291-241D-45E7-9B96-930A0C27E63F}"/>
  <tableColumns count="20">
    <tableColumn id="1" xr3:uid="{85486C89-404D-4DB2-86F6-8C0CBBB41B2F}" name="Sample No." dataDxfId="89"/>
    <tableColumn id="2" xr3:uid="{9FAF8FF3-A887-4CE2-B8D1-7C6D01873C40}" name="Variety" dataDxfId="88"/>
    <tableColumn id="3" xr3:uid="{612FB592-2A14-4B14-9A81-DE27A37E7F74}" name="Block" dataDxfId="87"/>
    <tableColumn id="4" xr3:uid="{4E32FB66-0997-4170-951A-87AE57820576}" name="Row" dataDxfId="86"/>
    <tableColumn id="5" xr3:uid="{118CCA5B-1940-412F-9BA5-3107084BF846}" name="Date" dataDxfId="85"/>
    <tableColumn id="6" xr3:uid="{7307CBD7-637E-4D32-98E8-2091421F4FF8}" name="ChlM" dataDxfId="84"/>
    <tableColumn id="7" xr3:uid="{8165569B-93D6-4254-BF4B-8715E33AA57C}" name="FlvM" dataDxfId="83"/>
    <tableColumn id="8" xr3:uid="{A0B058B4-915E-4EDB-8150-86538D2411D0}" name="AnthM" dataDxfId="82"/>
    <tableColumn id="9" xr3:uid="{B7FC945C-1511-4C45-8D80-844A07D7BE06}" name="NFI" dataDxfId="81"/>
    <tableColumn id="10" xr3:uid="{CB1281DF-A452-4E74-82D9-FD1A64175D1E}" name="Water Content (% of weight)" dataDxfId="80"/>
    <tableColumn id="19" xr3:uid="{0D638493-8390-42E8-B53C-6644A13FE4FF}" name="umgerechnete °Brix " dataDxfId="79">
      <calculatedColumnFormula>(1-Tabelle2[[#This Row],[Water Content (% of weight)]])*0.6</calculatedColumnFormula>
    </tableColumn>
    <tableColumn id="11" xr3:uid="{613FB405-D227-4D0F-812A-B6B85F1020BC}" name="Minerals (% of weight)" dataDxfId="78"/>
    <tableColumn id="18" xr3:uid="{ECB9325F-8D3D-48CD-8501-39AB0DA3538C}" name="Size Ø (mm)" dataDxfId="77" dataCellStyle="Prozent"/>
    <tableColumn id="20" xr3:uid="{70C33C1D-DD28-4D99-B324-2DC5F629CFC4}" name="Weight (g)" dataDxfId="76" dataCellStyle="Prozent"/>
    <tableColumn id="12" xr3:uid="{E9721D7A-20C5-41D2-85F9-B8C30A34A7A9}" name="Vitamin C – Fresh Sample (mg/100 g)" dataDxfId="75"/>
    <tableColumn id="13" xr3:uid="{7AFD0395-9CC2-45CA-8EC3-C04106363533}" name="Vitamin C – Dry Matter (mg/100 g)" dataDxfId="74"/>
    <tableColumn id="14" xr3:uid="{B25E11C2-9D66-4FDE-A167-D9410949B381}" name="Total Phenols – Fresh Sample (mg GAE/100 g)" dataDxfId="73"/>
    <tableColumn id="15" xr3:uid="{BCFE6CA1-8057-48D7-97A4-CF589E75EA82}" name="Total Phenols – Dry Matter (mg GAE/100 g)" dataDxfId="72"/>
    <tableColumn id="16" xr3:uid="{479689F9-D171-41C7-BB9F-09050BBC9ACF}" name="Antioxidant Capacity – Fresh Sample (mmol TAE/100 g)" dataDxfId="71"/>
    <tableColumn id="17" xr3:uid="{5E8FF074-C0A4-4912-9225-FC4EE0F5DE04}" name="Antioxidant Capacity – Dry Matter (mmol TAE/100 g)" data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505F9B-BF17-4E81-A864-5809A3631077}" name="Tabelle3" displayName="Tabelle3" ref="A1:D10" totalsRowShown="0" headerRowDxfId="69" dataDxfId="68">
  <autoFilter ref="A1:D10" xr:uid="{40505F9B-BF17-4E81-A864-5809A3631077}"/>
  <tableColumns count="4">
    <tableColumn id="1" xr3:uid="{992147B7-EEDE-4E06-A3EB-8F2D6A1DB62A}" name="Date" dataDxfId="67"/>
    <tableColumn id="2" xr3:uid="{9DC1A36D-CFAA-4F5F-885C-44E901BC5CA3}" name="Temperature greenhouse - °C" dataDxfId="66"/>
    <tableColumn id="3" xr3:uid="{6811F503-A8FB-44AB-AEA7-4EB711B180A9}" name="RH greenhouse - %" dataDxfId="65"/>
    <tableColumn id="4" xr3:uid="{11A391DB-2D71-424B-9D52-6E0F8D539D94}" name="air vent - %" dataDxfId="6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5D42-90B0-47CF-9834-4AD878799372}">
  <dimension ref="A1:F135"/>
  <sheetViews>
    <sheetView topLeftCell="A154" zoomScale="85" zoomScaleNormal="85" workbookViewId="0">
      <selection activeCell="O8" sqref="O8"/>
    </sheetView>
  </sheetViews>
  <sheetFormatPr baseColWidth="10" defaultRowHeight="14.4" outlineLevelRow="1" x14ac:dyDescent="0.3"/>
  <sheetData>
    <row r="1" spans="1:5" ht="21" x14ac:dyDescent="0.4">
      <c r="A1" s="9" t="s">
        <v>52</v>
      </c>
      <c r="E1" s="10" t="s">
        <v>54</v>
      </c>
    </row>
    <row r="2" spans="1:5" outlineLevel="1" x14ac:dyDescent="0.3"/>
    <row r="3" spans="1:5" outlineLevel="1" x14ac:dyDescent="0.3"/>
    <row r="4" spans="1:5" outlineLevel="1" x14ac:dyDescent="0.3"/>
    <row r="5" spans="1:5" outlineLevel="1" x14ac:dyDescent="0.3"/>
    <row r="6" spans="1:5" outlineLevel="1" x14ac:dyDescent="0.3"/>
    <row r="7" spans="1:5" outlineLevel="1" x14ac:dyDescent="0.3"/>
    <row r="8" spans="1:5" outlineLevel="1" x14ac:dyDescent="0.3"/>
    <row r="9" spans="1:5" outlineLevel="1" x14ac:dyDescent="0.3"/>
    <row r="10" spans="1:5" outlineLevel="1" x14ac:dyDescent="0.3"/>
    <row r="11" spans="1:5" outlineLevel="1" x14ac:dyDescent="0.3"/>
    <row r="12" spans="1:5" outlineLevel="1" x14ac:dyDescent="0.3"/>
    <row r="13" spans="1:5" outlineLevel="1" x14ac:dyDescent="0.3"/>
    <row r="14" spans="1:5" outlineLevel="1" x14ac:dyDescent="0.3"/>
    <row r="15" spans="1:5" outlineLevel="1" x14ac:dyDescent="0.3"/>
    <row r="16" spans="1:5" outlineLevel="1" x14ac:dyDescent="0.3"/>
    <row r="17" spans="5:6" outlineLevel="1" x14ac:dyDescent="0.3"/>
    <row r="18" spans="5:6" outlineLevel="1" x14ac:dyDescent="0.3"/>
    <row r="19" spans="5:6" ht="26.25" customHeight="1" outlineLevel="1" x14ac:dyDescent="0.3"/>
    <row r="20" spans="5:6" ht="28.5" customHeight="1" outlineLevel="1" x14ac:dyDescent="0.3">
      <c r="E20" s="10" t="s">
        <v>66</v>
      </c>
      <c r="F20" s="11"/>
    </row>
    <row r="21" spans="5:6" outlineLevel="1" x14ac:dyDescent="0.3"/>
    <row r="22" spans="5:6" outlineLevel="1" x14ac:dyDescent="0.3"/>
    <row r="23" spans="5:6" outlineLevel="1" x14ac:dyDescent="0.3"/>
    <row r="24" spans="5:6" outlineLevel="1" x14ac:dyDescent="0.3"/>
    <row r="25" spans="5:6" outlineLevel="1" x14ac:dyDescent="0.3"/>
    <row r="26" spans="5:6" outlineLevel="1" x14ac:dyDescent="0.3"/>
    <row r="27" spans="5:6" outlineLevel="1" x14ac:dyDescent="0.3"/>
    <row r="28" spans="5:6" outlineLevel="1" x14ac:dyDescent="0.3"/>
    <row r="29" spans="5:6" outlineLevel="1" x14ac:dyDescent="0.3"/>
    <row r="30" spans="5:6" outlineLevel="1" x14ac:dyDescent="0.3"/>
    <row r="31" spans="5:6" outlineLevel="1" x14ac:dyDescent="0.3"/>
    <row r="32" spans="5:6" outlineLevel="1" x14ac:dyDescent="0.3"/>
    <row r="33" spans="1:5" outlineLevel="1" x14ac:dyDescent="0.3"/>
    <row r="34" spans="1:5" outlineLevel="1" x14ac:dyDescent="0.3"/>
    <row r="35" spans="1:5" outlineLevel="1" x14ac:dyDescent="0.3"/>
    <row r="36" spans="1:5" outlineLevel="1" x14ac:dyDescent="0.3"/>
    <row r="37" spans="1:5" outlineLevel="1" x14ac:dyDescent="0.3"/>
    <row r="40" spans="1:5" ht="21" x14ac:dyDescent="0.4">
      <c r="A40" s="9" t="s">
        <v>67</v>
      </c>
      <c r="E40" s="10" t="s">
        <v>54</v>
      </c>
    </row>
    <row r="41" spans="1:5" outlineLevel="1" x14ac:dyDescent="0.3"/>
    <row r="42" spans="1:5" outlineLevel="1" x14ac:dyDescent="0.3"/>
    <row r="43" spans="1:5" outlineLevel="1" x14ac:dyDescent="0.3"/>
    <row r="44" spans="1:5" outlineLevel="1" x14ac:dyDescent="0.3"/>
    <row r="45" spans="1:5" outlineLevel="1" x14ac:dyDescent="0.3"/>
    <row r="46" spans="1:5" outlineLevel="1" x14ac:dyDescent="0.3"/>
    <row r="47" spans="1:5" outlineLevel="1" x14ac:dyDescent="0.3"/>
    <row r="48" spans="1:5" outlineLevel="1" x14ac:dyDescent="0.3"/>
    <row r="49" spans="5:6" outlineLevel="1" x14ac:dyDescent="0.3"/>
    <row r="50" spans="5:6" outlineLevel="1" x14ac:dyDescent="0.3"/>
    <row r="51" spans="5:6" outlineLevel="1" x14ac:dyDescent="0.3"/>
    <row r="52" spans="5:6" outlineLevel="1" x14ac:dyDescent="0.3"/>
    <row r="53" spans="5:6" outlineLevel="1" x14ac:dyDescent="0.3"/>
    <row r="54" spans="5:6" outlineLevel="1" x14ac:dyDescent="0.3"/>
    <row r="55" spans="5:6" outlineLevel="1" x14ac:dyDescent="0.3"/>
    <row r="56" spans="5:6" ht="16.8" customHeight="1" outlineLevel="1" x14ac:dyDescent="0.3">
      <c r="E56" s="10" t="s">
        <v>66</v>
      </c>
      <c r="F56" s="11"/>
    </row>
    <row r="57" spans="5:6" outlineLevel="1" x14ac:dyDescent="0.3"/>
    <row r="58" spans="5:6" outlineLevel="1" x14ac:dyDescent="0.3"/>
    <row r="59" spans="5:6" outlineLevel="1" x14ac:dyDescent="0.3"/>
    <row r="60" spans="5:6" outlineLevel="1" x14ac:dyDescent="0.3"/>
    <row r="61" spans="5:6" outlineLevel="1" x14ac:dyDescent="0.3"/>
    <row r="62" spans="5:6" outlineLevel="1" x14ac:dyDescent="0.3"/>
    <row r="63" spans="5:6" outlineLevel="1" x14ac:dyDescent="0.3"/>
    <row r="64" spans="5:6" outlineLevel="1" x14ac:dyDescent="0.3"/>
    <row r="65" spans="1:5" outlineLevel="1" x14ac:dyDescent="0.3"/>
    <row r="66" spans="1:5" outlineLevel="1" x14ac:dyDescent="0.3"/>
    <row r="67" spans="1:5" outlineLevel="1" x14ac:dyDescent="0.3"/>
    <row r="68" spans="1:5" outlineLevel="1" x14ac:dyDescent="0.3"/>
    <row r="69" spans="1:5" outlineLevel="1" x14ac:dyDescent="0.3"/>
    <row r="70" spans="1:5" outlineLevel="1" x14ac:dyDescent="0.3"/>
    <row r="71" spans="1:5" outlineLevel="1" x14ac:dyDescent="0.3"/>
    <row r="72" spans="1:5" outlineLevel="1" x14ac:dyDescent="0.3"/>
    <row r="75" spans="1:5" ht="24" customHeight="1" x14ac:dyDescent="0.4">
      <c r="A75" s="9" t="s">
        <v>53</v>
      </c>
      <c r="E75" s="10" t="s">
        <v>54</v>
      </c>
    </row>
    <row r="76" spans="1:5" outlineLevel="1" x14ac:dyDescent="0.3"/>
    <row r="77" spans="1:5" outlineLevel="1" x14ac:dyDescent="0.3"/>
    <row r="78" spans="1:5" outlineLevel="1" x14ac:dyDescent="0.3"/>
    <row r="79" spans="1:5" outlineLevel="1" x14ac:dyDescent="0.3"/>
    <row r="80" spans="1:5" outlineLevel="1" x14ac:dyDescent="0.3"/>
    <row r="81" spans="5:6" outlineLevel="1" x14ac:dyDescent="0.3"/>
    <row r="82" spans="5:6" outlineLevel="1" x14ac:dyDescent="0.3"/>
    <row r="83" spans="5:6" outlineLevel="1" x14ac:dyDescent="0.3"/>
    <row r="84" spans="5:6" outlineLevel="1" x14ac:dyDescent="0.3"/>
    <row r="85" spans="5:6" outlineLevel="1" x14ac:dyDescent="0.3"/>
    <row r="86" spans="5:6" outlineLevel="1" x14ac:dyDescent="0.3"/>
    <row r="87" spans="5:6" outlineLevel="1" x14ac:dyDescent="0.3"/>
    <row r="88" spans="5:6" outlineLevel="1" x14ac:dyDescent="0.3"/>
    <row r="89" spans="5:6" outlineLevel="1" x14ac:dyDescent="0.3"/>
    <row r="90" spans="5:6" outlineLevel="1" x14ac:dyDescent="0.3"/>
    <row r="91" spans="5:6" outlineLevel="1" x14ac:dyDescent="0.3"/>
    <row r="92" spans="5:6" outlineLevel="1" x14ac:dyDescent="0.3"/>
    <row r="93" spans="5:6" ht="31.5" customHeight="1" outlineLevel="1" x14ac:dyDescent="0.3"/>
    <row r="94" spans="5:6" outlineLevel="1" x14ac:dyDescent="0.3"/>
    <row r="95" spans="5:6" outlineLevel="1" x14ac:dyDescent="0.3"/>
    <row r="96" spans="5:6" ht="23.25" customHeight="1" outlineLevel="1" x14ac:dyDescent="0.3">
      <c r="E96" s="10" t="s">
        <v>66</v>
      </c>
      <c r="F96" s="11"/>
    </row>
    <row r="97" outlineLevel="1" x14ac:dyDescent="0.3"/>
    <row r="98" outlineLevel="1" x14ac:dyDescent="0.3"/>
    <row r="99" outlineLevel="1" x14ac:dyDescent="0.3"/>
    <row r="100" outlineLevel="1" x14ac:dyDescent="0.3"/>
    <row r="101" outlineLevel="1" x14ac:dyDescent="0.3"/>
    <row r="102" outlineLevel="1" x14ac:dyDescent="0.3"/>
    <row r="103" outlineLevel="1" x14ac:dyDescent="0.3"/>
    <row r="104" outlineLevel="1" x14ac:dyDescent="0.3"/>
    <row r="105" outlineLevel="1" x14ac:dyDescent="0.3"/>
    <row r="106" outlineLevel="1" x14ac:dyDescent="0.3"/>
    <row r="107" outlineLevel="1" x14ac:dyDescent="0.3"/>
    <row r="108" outlineLevel="1" x14ac:dyDescent="0.3"/>
    <row r="109" outlineLevel="1" x14ac:dyDescent="0.3"/>
    <row r="110" outlineLevel="1" x14ac:dyDescent="0.3"/>
    <row r="111" outlineLevel="1" x14ac:dyDescent="0.3"/>
    <row r="112" outlineLevel="1" x14ac:dyDescent="0.3"/>
    <row r="114" spans="1:5" ht="21" x14ac:dyDescent="0.4">
      <c r="A114" s="9" t="s">
        <v>100</v>
      </c>
      <c r="E114" s="10" t="s">
        <v>54</v>
      </c>
    </row>
    <row r="135" spans="5:6" x14ac:dyDescent="0.3">
      <c r="E135" s="10" t="s">
        <v>66</v>
      </c>
      <c r="F135" s="11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4D96-02F0-41B3-93AD-EDAD951A737C}">
  <dimension ref="A1:T129"/>
  <sheetViews>
    <sheetView topLeftCell="A115" zoomScaleNormal="100" workbookViewId="0">
      <selection activeCell="E68" sqref="E68"/>
    </sheetView>
  </sheetViews>
  <sheetFormatPr baseColWidth="10" defaultColWidth="11.44140625" defaultRowHeight="14.4" x14ac:dyDescent="0.3"/>
  <cols>
    <col min="1" max="1" width="13.44140625" style="2" customWidth="1"/>
    <col min="2" max="4" width="11.44140625" style="2"/>
    <col min="5" max="5" width="19.109375" style="2" bestFit="1" customWidth="1"/>
    <col min="6" max="9" width="9.5546875" style="2" customWidth="1"/>
    <col min="10" max="10" width="28.5546875" style="2" customWidth="1"/>
    <col min="11" max="11" width="28.5546875" style="45" customWidth="1"/>
    <col min="12" max="12" width="23" style="2" customWidth="1"/>
    <col min="13" max="13" width="13.6640625" style="43" customWidth="1"/>
    <col min="14" max="14" width="12.33203125" style="43" customWidth="1"/>
    <col min="15" max="15" width="35.44140625" style="2" customWidth="1"/>
    <col min="16" max="16" width="35.5546875" style="2" customWidth="1"/>
    <col min="17" max="17" width="43" style="2" customWidth="1"/>
    <col min="18" max="18" width="40.44140625" style="2" bestFit="1" customWidth="1"/>
    <col min="19" max="19" width="51.44140625" style="2" customWidth="1"/>
    <col min="20" max="20" width="52.33203125" style="2" bestFit="1" customWidth="1"/>
    <col min="21" max="16384" width="11.44140625" style="2"/>
  </cols>
  <sheetData>
    <row r="1" spans="1:20" s="1" customFormat="1" x14ac:dyDescent="0.3">
      <c r="A1" s="1" t="s">
        <v>8</v>
      </c>
      <c r="B1" s="1" t="s">
        <v>9</v>
      </c>
      <c r="C1" s="1" t="s">
        <v>7</v>
      </c>
      <c r="D1" s="1" t="s">
        <v>10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  <c r="J1" t="s">
        <v>12</v>
      </c>
      <c r="K1" t="s">
        <v>168</v>
      </c>
      <c r="L1" t="s">
        <v>13</v>
      </c>
      <c r="M1" t="s">
        <v>80</v>
      </c>
      <c r="N1" t="s">
        <v>81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2" t="s">
        <v>20</v>
      </c>
      <c r="B2" s="5" t="s">
        <v>2</v>
      </c>
      <c r="C2" s="2" t="s">
        <v>1</v>
      </c>
      <c r="D2" s="2">
        <v>2034</v>
      </c>
      <c r="E2" s="7">
        <v>45876</v>
      </c>
      <c r="F2" s="3">
        <v>0.58333333333333337</v>
      </c>
      <c r="G2" s="3">
        <v>0.11</v>
      </c>
      <c r="H2" s="3">
        <v>2.3333333333333331E-2</v>
      </c>
      <c r="I2" s="3">
        <v>5.4966666666666661</v>
      </c>
      <c r="J2" s="6">
        <v>0.93910000000000005</v>
      </c>
      <c r="K2" s="6">
        <f>(1-Tabelle2[[#This Row],[Water Content (% of weight)]])*0.6</f>
        <v>3.6539999999999968E-2</v>
      </c>
      <c r="L2" s="6">
        <v>4.5335494261518998E-3</v>
      </c>
      <c r="O2" s="4">
        <v>70.148148148148195</v>
      </c>
      <c r="P2" s="4">
        <v>1151.8579334671299</v>
      </c>
      <c r="Q2" s="4">
        <v>96.625</v>
      </c>
      <c r="R2" s="4">
        <v>1586.617405582921</v>
      </c>
      <c r="S2" s="3">
        <v>0.89192025183630741</v>
      </c>
      <c r="T2" s="4">
        <v>14.645652739512421</v>
      </c>
    </row>
    <row r="3" spans="1:20" x14ac:dyDescent="0.3">
      <c r="A3" s="2" t="s">
        <v>21</v>
      </c>
      <c r="B3" s="5" t="s">
        <v>2</v>
      </c>
      <c r="C3" s="2" t="s">
        <v>1</v>
      </c>
      <c r="D3" s="2">
        <v>2034</v>
      </c>
      <c r="E3" s="7">
        <v>45876</v>
      </c>
      <c r="F3" s="3">
        <v>0.55333333333333334</v>
      </c>
      <c r="G3" s="3">
        <v>9.6666666666666679E-2</v>
      </c>
      <c r="H3" s="3">
        <v>3.3333333333333333E-2</v>
      </c>
      <c r="I3" s="3">
        <v>6.5666666666666664</v>
      </c>
      <c r="J3" s="6">
        <v>0.94440000000000002</v>
      </c>
      <c r="K3" s="6">
        <f>(1-Tabelle2[[#This Row],[Water Content (% of weight)]])*0.6</f>
        <v>3.3359999999999987E-2</v>
      </c>
      <c r="L3" s="6">
        <v>4.2421950614887991E-3</v>
      </c>
      <c r="O3" s="4">
        <v>71.259259259259252</v>
      </c>
      <c r="P3" s="4">
        <v>1281.6413535837999</v>
      </c>
      <c r="Q3" s="4">
        <v>93.5</v>
      </c>
      <c r="R3" s="4">
        <v>1681.6546762589933</v>
      </c>
      <c r="S3" s="3">
        <v>0.91815320041972814</v>
      </c>
      <c r="T3" s="4">
        <v>16.513546770139001</v>
      </c>
    </row>
    <row r="4" spans="1:20" x14ac:dyDescent="0.3">
      <c r="A4" s="2" t="s">
        <v>22</v>
      </c>
      <c r="B4" s="5" t="s">
        <v>2</v>
      </c>
      <c r="C4" s="2" t="s">
        <v>1</v>
      </c>
      <c r="D4" s="2">
        <v>2034</v>
      </c>
      <c r="E4" s="7">
        <v>45876</v>
      </c>
      <c r="F4" s="3">
        <v>0.56333333333333335</v>
      </c>
      <c r="G4" s="3">
        <v>6.6666666666666666E-2</v>
      </c>
      <c r="H4" s="3">
        <v>0.02</v>
      </c>
      <c r="I4" s="3">
        <v>8.6933333333333334</v>
      </c>
      <c r="J4" s="6">
        <v>0.93940000000000001</v>
      </c>
      <c r="K4" s="6">
        <f>(1-Tabelle2[[#This Row],[Water Content (% of weight)]])*0.6</f>
        <v>3.635999999999999E-2</v>
      </c>
      <c r="L4" s="6">
        <v>4.2558316673182092E-3</v>
      </c>
      <c r="O4" s="4">
        <v>66.81481481481481</v>
      </c>
      <c r="P4" s="4">
        <v>1102.554699914436</v>
      </c>
      <c r="Q4" s="4">
        <v>120.99999999999997</v>
      </c>
      <c r="R4" s="4">
        <v>1996.6996699669967</v>
      </c>
      <c r="S4" s="3">
        <v>0.78698845750262403</v>
      </c>
      <c r="T4" s="4">
        <v>12.986608209614261</v>
      </c>
    </row>
    <row r="5" spans="1:20" x14ac:dyDescent="0.3">
      <c r="A5" s="2" t="s">
        <v>23</v>
      </c>
      <c r="B5" s="5" t="s">
        <v>2</v>
      </c>
      <c r="C5" s="2" t="s">
        <v>1</v>
      </c>
      <c r="D5" s="2">
        <v>2034</v>
      </c>
      <c r="E5" s="7">
        <v>45876</v>
      </c>
      <c r="F5" s="3">
        <v>0.72000000000000008</v>
      </c>
      <c r="G5" s="3">
        <v>7.3333333333333334E-2</v>
      </c>
      <c r="H5" s="3">
        <v>4.3333333333333335E-2</v>
      </c>
      <c r="I5" s="3">
        <v>10.603333333333333</v>
      </c>
      <c r="J5" s="6">
        <v>0.93969999999999998</v>
      </c>
      <c r="K5" s="6">
        <f>(1-Tabelle2[[#This Row],[Water Content (% of weight)]])*0.6</f>
        <v>3.6180000000000011E-2</v>
      </c>
      <c r="L5" s="6">
        <v>4.1971841450870158E-3</v>
      </c>
      <c r="O5" s="4">
        <v>61.25925925925926</v>
      </c>
      <c r="P5" s="4">
        <v>1015.9081137522262</v>
      </c>
      <c r="Q5" s="4">
        <v>95.375</v>
      </c>
      <c r="R5" s="4">
        <v>1581.6749585406296</v>
      </c>
      <c r="S5" s="3">
        <v>0.83071003847499192</v>
      </c>
      <c r="T5" s="4">
        <v>13.776285878523908</v>
      </c>
    </row>
    <row r="6" spans="1:20" x14ac:dyDescent="0.3">
      <c r="A6" s="2" t="s">
        <v>24</v>
      </c>
      <c r="B6" s="2" t="s">
        <v>0</v>
      </c>
      <c r="C6" s="2" t="s">
        <v>1</v>
      </c>
      <c r="D6" s="2">
        <v>2012</v>
      </c>
      <c r="E6" s="7">
        <v>45876</v>
      </c>
      <c r="F6" s="3">
        <v>0.56000000000000005</v>
      </c>
      <c r="G6" s="3">
        <v>8.3333333333333329E-2</v>
      </c>
      <c r="H6" s="3">
        <v>3.3333333333333333E-2</v>
      </c>
      <c r="I6" s="3">
        <v>10.293333333333335</v>
      </c>
      <c r="J6" s="6">
        <v>0.95779999999999998</v>
      </c>
      <c r="K6" s="6">
        <f>(1-Tabelle2[[#This Row],[Water Content (% of weight)]])*0.6</f>
        <v>2.5320000000000009E-2</v>
      </c>
      <c r="L6" s="6">
        <v>3.9076345187448154E-3</v>
      </c>
      <c r="O6" s="4">
        <v>51.629629629629626</v>
      </c>
      <c r="P6" s="4">
        <v>1223.450939090749</v>
      </c>
      <c r="Q6" s="4">
        <v>92.25</v>
      </c>
      <c r="R6" s="4">
        <v>2186.0189573459706</v>
      </c>
      <c r="S6" s="3">
        <v>0.69954529555788802</v>
      </c>
      <c r="T6" s="4">
        <v>16.576902738338571</v>
      </c>
    </row>
    <row r="7" spans="1:20" x14ac:dyDescent="0.3">
      <c r="A7" s="2" t="s">
        <v>25</v>
      </c>
      <c r="B7" s="2" t="s">
        <v>0</v>
      </c>
      <c r="C7" s="2" t="s">
        <v>1</v>
      </c>
      <c r="D7" s="2">
        <v>2012</v>
      </c>
      <c r="E7" s="7">
        <v>45876</v>
      </c>
      <c r="F7" s="3">
        <v>0.66</v>
      </c>
      <c r="G7" s="3">
        <v>8.666666666666667E-2</v>
      </c>
      <c r="H7" s="3">
        <v>4.3333333333333335E-2</v>
      </c>
      <c r="I7" s="3">
        <v>8.1966666666666672</v>
      </c>
      <c r="J7" s="6">
        <v>0.95109999999999995</v>
      </c>
      <c r="K7" s="6">
        <f>(1-Tabelle2[[#This Row],[Water Content (% of weight)]])*0.6</f>
        <v>2.9340000000000033E-2</v>
      </c>
      <c r="L7" s="6">
        <v>4.0333417479303368E-3</v>
      </c>
      <c r="O7" s="4">
        <v>52.74074074074074</v>
      </c>
      <c r="P7" s="4">
        <v>1078.5427554343698</v>
      </c>
      <c r="Q7" s="4">
        <v>86.625</v>
      </c>
      <c r="R7" s="4">
        <v>1771.4723926380348</v>
      </c>
      <c r="S7" s="3">
        <v>0.77824414130815045</v>
      </c>
      <c r="T7" s="4">
        <v>15.915013114686085</v>
      </c>
    </row>
    <row r="8" spans="1:20" x14ac:dyDescent="0.3">
      <c r="A8" s="2" t="s">
        <v>26</v>
      </c>
      <c r="B8" s="2" t="s">
        <v>0</v>
      </c>
      <c r="C8" s="2" t="s">
        <v>1</v>
      </c>
      <c r="D8" s="2">
        <v>2012</v>
      </c>
      <c r="E8" s="7">
        <v>45876</v>
      </c>
      <c r="F8" s="3">
        <v>0.68</v>
      </c>
      <c r="G8" s="3">
        <v>8.666666666666667E-2</v>
      </c>
      <c r="H8" s="3">
        <v>4.6666666666666669E-2</v>
      </c>
      <c r="I8" s="3">
        <v>8.3166666666666664</v>
      </c>
      <c r="J8" s="6">
        <v>0.95450000000000002</v>
      </c>
      <c r="K8" s="6">
        <f>(1-Tabelle2[[#This Row],[Water Content (% of weight)]])*0.6</f>
        <v>2.7299999999999991E-2</v>
      </c>
      <c r="L8" s="6">
        <v>4.1132137696676258E-3</v>
      </c>
      <c r="O8" s="4">
        <v>68.296296296296291</v>
      </c>
      <c r="P8" s="4">
        <v>1501.0175010175014</v>
      </c>
      <c r="Q8" s="4">
        <v>108.50000000000003</v>
      </c>
      <c r="R8" s="4">
        <v>2384.6153846153861</v>
      </c>
      <c r="S8" s="3">
        <v>1.1455054214760407</v>
      </c>
      <c r="T8" s="4">
        <v>25.17594332914376</v>
      </c>
    </row>
    <row r="9" spans="1:20" x14ac:dyDescent="0.3">
      <c r="A9" s="2" t="s">
        <v>27</v>
      </c>
      <c r="B9" s="2" t="s">
        <v>0</v>
      </c>
      <c r="C9" s="2" t="s">
        <v>1</v>
      </c>
      <c r="D9" s="2">
        <v>2012</v>
      </c>
      <c r="E9" s="7">
        <v>45876</v>
      </c>
      <c r="F9" s="3">
        <v>0.84</v>
      </c>
      <c r="G9" s="3">
        <v>0.11666666666666665</v>
      </c>
      <c r="H9" s="3">
        <v>0.06</v>
      </c>
      <c r="I9" s="3">
        <v>7.3766666666666678</v>
      </c>
      <c r="J9" s="6">
        <v>0.9595999999999999</v>
      </c>
      <c r="K9" s="6">
        <f>(1-Tabelle2[[#This Row],[Water Content (% of weight)]])*0.6</f>
        <v>2.424000000000006E-2</v>
      </c>
      <c r="L9" s="6">
        <v>3.9377090626526419E-3</v>
      </c>
      <c r="O9" s="4">
        <v>84.592592592592595</v>
      </c>
      <c r="P9" s="4">
        <v>2093.8760542720888</v>
      </c>
      <c r="Q9" s="4">
        <v>111.00000000000003</v>
      </c>
      <c r="R9" s="4">
        <v>2747.5247524752413</v>
      </c>
      <c r="S9" s="3">
        <v>1.1542497376705143</v>
      </c>
      <c r="T9" s="4">
        <v>28.570538061151272</v>
      </c>
    </row>
    <row r="10" spans="1:20" x14ac:dyDescent="0.3">
      <c r="A10" s="2" t="s">
        <v>28</v>
      </c>
      <c r="B10" s="5" t="s">
        <v>2</v>
      </c>
      <c r="C10" s="2" t="s">
        <v>1</v>
      </c>
      <c r="D10" s="2">
        <v>2034</v>
      </c>
      <c r="E10" s="7">
        <v>45890</v>
      </c>
      <c r="F10" s="3">
        <v>0.67666666666666675</v>
      </c>
      <c r="G10" s="3">
        <v>0.10333333333333333</v>
      </c>
      <c r="H10" s="3">
        <v>4.3333333333333335E-2</v>
      </c>
      <c r="I10" s="3">
        <v>7.4666666666666659</v>
      </c>
      <c r="J10" s="6">
        <v>0.9234</v>
      </c>
      <c r="K10" s="6">
        <f>(1-Tabelle2[[#This Row],[Water Content (% of weight)]])*0.6</f>
        <v>4.5960000000000001E-2</v>
      </c>
      <c r="L10" s="6">
        <v>4.8691722407194519E-3</v>
      </c>
      <c r="O10" s="4">
        <v>84.255637971978445</v>
      </c>
      <c r="P10" s="4">
        <v>1099.9430544644706</v>
      </c>
      <c r="Q10" s="4">
        <v>109.49999970197678</v>
      </c>
      <c r="R10" s="4">
        <v>1429.5039125584435</v>
      </c>
      <c r="S10" s="3">
        <v>0.77344199398887215</v>
      </c>
      <c r="T10" s="4">
        <v>10.097153968523134</v>
      </c>
    </row>
    <row r="11" spans="1:20" x14ac:dyDescent="0.3">
      <c r="A11" s="2" t="s">
        <v>29</v>
      </c>
      <c r="B11" s="5" t="s">
        <v>2</v>
      </c>
      <c r="C11" s="2" t="s">
        <v>1</v>
      </c>
      <c r="D11" s="2">
        <v>2034</v>
      </c>
      <c r="E11" s="7">
        <v>45890</v>
      </c>
      <c r="F11" s="3">
        <v>0.60666666666666669</v>
      </c>
      <c r="G11" s="3">
        <v>6.6666666666666666E-2</v>
      </c>
      <c r="H11" s="3">
        <v>0.04</v>
      </c>
      <c r="I11" s="3">
        <v>9.4166666666666661</v>
      </c>
      <c r="J11" s="6">
        <v>0.92620000000000002</v>
      </c>
      <c r="K11" s="6">
        <f>(1-Tabelle2[[#This Row],[Water Content (% of weight)]])*0.6</f>
        <v>4.4279999999999986E-2</v>
      </c>
      <c r="L11" s="6">
        <v>5.3449223237923638E-3</v>
      </c>
      <c r="O11" s="4">
        <v>78.045116324173776</v>
      </c>
      <c r="P11" s="4">
        <v>1057.5219014115692</v>
      </c>
      <c r="Q11" s="4">
        <v>106.07142877578735</v>
      </c>
      <c r="R11" s="4">
        <v>1437.2822327342465</v>
      </c>
      <c r="S11" s="3">
        <v>0.5439720959182941</v>
      </c>
      <c r="T11" s="4">
        <v>7.3708956086489739</v>
      </c>
    </row>
    <row r="12" spans="1:20" x14ac:dyDescent="0.3">
      <c r="A12" s="2" t="s">
        <v>30</v>
      </c>
      <c r="B12" s="5" t="s">
        <v>2</v>
      </c>
      <c r="C12" s="2" t="s">
        <v>1</v>
      </c>
      <c r="D12" s="2">
        <v>2034</v>
      </c>
      <c r="E12" s="7">
        <v>45890</v>
      </c>
      <c r="F12" s="3">
        <v>0.77999999999999992</v>
      </c>
      <c r="G12" s="3">
        <v>7.6666666666666661E-2</v>
      </c>
      <c r="H12" s="3">
        <v>5.3333333333333337E-2</v>
      </c>
      <c r="I12" s="3">
        <v>10.506666666666666</v>
      </c>
      <c r="J12" s="6">
        <v>0.91800000000000004</v>
      </c>
      <c r="K12" s="6">
        <f>(1-Tabelle2[[#This Row],[Water Content (% of weight)]])*0.6</f>
        <v>4.9199999999999973E-2</v>
      </c>
      <c r="L12" s="6">
        <v>5.1070144462416756E-3</v>
      </c>
      <c r="O12" s="4">
        <v>99.293231060630404</v>
      </c>
      <c r="P12" s="4">
        <v>1210.8930617150054</v>
      </c>
      <c r="Q12" s="4">
        <v>117.39285740682058</v>
      </c>
      <c r="R12" s="4">
        <v>1431.6202122783004</v>
      </c>
      <c r="S12" s="3">
        <v>0.66220157120070877</v>
      </c>
      <c r="T12" s="4">
        <v>8.0756289170818185</v>
      </c>
    </row>
    <row r="13" spans="1:20" x14ac:dyDescent="0.3">
      <c r="A13" s="2" t="s">
        <v>31</v>
      </c>
      <c r="B13" s="5" t="s">
        <v>2</v>
      </c>
      <c r="C13" s="2" t="s">
        <v>1</v>
      </c>
      <c r="D13" s="2">
        <v>2034</v>
      </c>
      <c r="E13" s="7">
        <v>45890</v>
      </c>
      <c r="F13" s="3">
        <v>0.64333333333333342</v>
      </c>
      <c r="G13" s="3">
        <v>9.6666666666666665E-2</v>
      </c>
      <c r="H13" s="3">
        <v>4.3333333333333335E-2</v>
      </c>
      <c r="I13" s="3">
        <v>6.8000000000000007</v>
      </c>
      <c r="J13" s="6">
        <v>0.91</v>
      </c>
      <c r="K13" s="6">
        <f>(1-Tabelle2[[#This Row],[Water Content (% of weight)]])*0.6</f>
        <v>5.3999999999999979E-2</v>
      </c>
      <c r="L13" s="6">
        <v>5.7392650280660845E-3</v>
      </c>
      <c r="O13" s="4">
        <v>85.263158138533285</v>
      </c>
      <c r="P13" s="4">
        <v>947.36842376148127</v>
      </c>
      <c r="Q13" s="4">
        <v>122.46428667647498</v>
      </c>
      <c r="R13" s="4">
        <v>1360.714296405278</v>
      </c>
      <c r="S13" s="3">
        <v>0.83284789875765886</v>
      </c>
      <c r="T13" s="4">
        <v>9.2538655417517681</v>
      </c>
    </row>
    <row r="14" spans="1:20" x14ac:dyDescent="0.3">
      <c r="A14" s="2" t="s">
        <v>32</v>
      </c>
      <c r="B14" s="2" t="s">
        <v>0</v>
      </c>
      <c r="C14" s="2" t="s">
        <v>1</v>
      </c>
      <c r="D14" s="2">
        <v>2012</v>
      </c>
      <c r="E14" s="7">
        <v>45890</v>
      </c>
      <c r="F14" s="3">
        <v>0.66</v>
      </c>
      <c r="G14" s="3">
        <v>0.06</v>
      </c>
      <c r="H14" s="3">
        <v>4.6666666666666669E-2</v>
      </c>
      <c r="I14" s="3">
        <v>11.086666666666666</v>
      </c>
      <c r="J14" s="6">
        <v>0.95240000000000002</v>
      </c>
      <c r="K14" s="6">
        <f>(1-Tabelle2[[#This Row],[Water Content (% of weight)]])*0.6</f>
        <v>2.8559999999999985E-2</v>
      </c>
      <c r="L14" s="6">
        <v>3.9665182121834562E-3</v>
      </c>
      <c r="O14" s="4">
        <v>69.969923865526255</v>
      </c>
      <c r="P14" s="4">
        <v>1469.9563837295439</v>
      </c>
      <c r="Q14" s="4">
        <v>107.67857222897666</v>
      </c>
      <c r="R14" s="4">
        <v>2262.154878760015</v>
      </c>
      <c r="S14" s="3">
        <v>0.64822363978426445</v>
      </c>
      <c r="T14" s="4">
        <v>13.61814369294674</v>
      </c>
    </row>
    <row r="15" spans="1:20" x14ac:dyDescent="0.3">
      <c r="A15" s="2" t="s">
        <v>33</v>
      </c>
      <c r="B15" s="2" t="s">
        <v>0</v>
      </c>
      <c r="C15" s="2" t="s">
        <v>1</v>
      </c>
      <c r="D15" s="2">
        <v>2012</v>
      </c>
      <c r="E15" s="7">
        <v>45890</v>
      </c>
      <c r="F15" s="3">
        <v>0.68666666666666665</v>
      </c>
      <c r="G15" s="3">
        <v>8.666666666666667E-2</v>
      </c>
      <c r="H15" s="3">
        <v>7.3333333333333334E-2</v>
      </c>
      <c r="I15" s="3">
        <v>8.2833333333333332</v>
      </c>
      <c r="J15" s="6">
        <v>0.96260000000000001</v>
      </c>
      <c r="K15" s="6">
        <f>(1-Tabelle2[[#This Row],[Water Content (% of weight)]])*0.6</f>
        <v>2.2439999999999991E-2</v>
      </c>
      <c r="L15" s="6">
        <v>3.8645279452094849E-3</v>
      </c>
      <c r="O15" s="4">
        <v>60.977442813098875</v>
      </c>
      <c r="P15" s="4">
        <v>1630.4129094411469</v>
      </c>
      <c r="Q15" s="4">
        <v>99.39285871386528</v>
      </c>
      <c r="R15" s="4">
        <v>2657.5630672156499</v>
      </c>
      <c r="S15" s="3">
        <v>1.4210832567498233</v>
      </c>
      <c r="T15" s="4">
        <v>37.996878522722561</v>
      </c>
    </row>
    <row r="16" spans="1:20" x14ac:dyDescent="0.3">
      <c r="A16" s="2" t="s">
        <v>34</v>
      </c>
      <c r="B16" s="2" t="s">
        <v>0</v>
      </c>
      <c r="C16" s="2" t="s">
        <v>1</v>
      </c>
      <c r="D16" s="2">
        <v>2012</v>
      </c>
      <c r="E16" s="7">
        <v>45890</v>
      </c>
      <c r="F16" s="3">
        <v>0.64333333333333342</v>
      </c>
      <c r="G16" s="3">
        <v>0.12666666666666668</v>
      </c>
      <c r="H16" s="3">
        <v>7.0000000000000007E-2</v>
      </c>
      <c r="I16" s="3">
        <v>5.7</v>
      </c>
      <c r="J16" s="6">
        <v>0.95699999999999996</v>
      </c>
      <c r="K16" s="6">
        <f>(1-Tabelle2[[#This Row],[Water Content (% of weight)]])*0.6</f>
        <v>2.5800000000000021E-2</v>
      </c>
      <c r="L16" s="6">
        <v>3.658392967750339E-3</v>
      </c>
      <c r="O16" s="4">
        <v>68.556390751573389</v>
      </c>
      <c r="P16" s="4">
        <v>1594.3346686412401</v>
      </c>
      <c r="Q16" s="4">
        <v>110.53571555444174</v>
      </c>
      <c r="R16" s="4">
        <v>2570.5980361498055</v>
      </c>
      <c r="S16" s="3">
        <v>0.64764113195704776</v>
      </c>
      <c r="T16" s="4">
        <v>15.061421673419702</v>
      </c>
    </row>
    <row r="17" spans="1:20" x14ac:dyDescent="0.3">
      <c r="A17" s="2" t="s">
        <v>35</v>
      </c>
      <c r="B17" s="2" t="s">
        <v>0</v>
      </c>
      <c r="C17" s="2" t="s">
        <v>1</v>
      </c>
      <c r="D17" s="2">
        <v>2012</v>
      </c>
      <c r="E17" s="7">
        <v>45890</v>
      </c>
      <c r="F17" s="3">
        <v>0.58000000000000007</v>
      </c>
      <c r="G17" s="3">
        <v>0.11</v>
      </c>
      <c r="H17" s="3">
        <v>0.03</v>
      </c>
      <c r="I17" s="3">
        <v>5.3733333333333322</v>
      </c>
      <c r="J17" s="6">
        <v>0.95369999999999999</v>
      </c>
      <c r="K17" s="6">
        <f>(1-Tabelle2[[#This Row],[Water Content (% of weight)]])*0.6</f>
        <v>2.7780000000000003E-2</v>
      </c>
      <c r="L17" s="6">
        <v>3.9222061667232161E-3</v>
      </c>
      <c r="O17" s="4">
        <v>60.796993112205563</v>
      </c>
      <c r="P17" s="4">
        <v>1313.1100024234461</v>
      </c>
      <c r="Q17" s="4">
        <v>103.14285566977091</v>
      </c>
      <c r="R17" s="4">
        <v>2227.7074658697816</v>
      </c>
      <c r="S17" s="3">
        <v>0.52067560141490632</v>
      </c>
      <c r="T17" s="4">
        <v>11.245693335095167</v>
      </c>
    </row>
    <row r="18" spans="1:20" x14ac:dyDescent="0.3">
      <c r="A18" s="2" t="s">
        <v>36</v>
      </c>
      <c r="B18" s="2" t="s">
        <v>2</v>
      </c>
      <c r="C18" s="2" t="s">
        <v>1</v>
      </c>
      <c r="D18" s="2">
        <v>2034</v>
      </c>
      <c r="E18" s="7">
        <v>45904</v>
      </c>
      <c r="F18" s="2">
        <v>0.52</v>
      </c>
      <c r="G18" s="2">
        <v>0.09</v>
      </c>
      <c r="H18" s="2">
        <v>0.03</v>
      </c>
      <c r="I18" s="2">
        <v>5.7</v>
      </c>
      <c r="J18" s="6">
        <v>0.91710000000000003</v>
      </c>
      <c r="K18" s="6">
        <f>(1-Tabelle2[[#This Row],[Water Content (% of weight)]])*0.6</f>
        <v>4.9739999999999986E-2</v>
      </c>
      <c r="L18" s="6">
        <v>4.9991076362459362E-3</v>
      </c>
      <c r="O18" s="4">
        <v>61.76315723594869</v>
      </c>
      <c r="P18" s="4">
        <v>745.03205350963458</v>
      </c>
      <c r="Q18" s="4">
        <v>172.15000209808352</v>
      </c>
      <c r="R18" s="4">
        <v>2076.5983365269431</v>
      </c>
      <c r="S18" s="3">
        <v>1.1741599494240922</v>
      </c>
      <c r="T18" s="4">
        <v>14.163569956864809</v>
      </c>
    </row>
    <row r="19" spans="1:20" x14ac:dyDescent="0.3">
      <c r="A19" s="2" t="s">
        <v>37</v>
      </c>
      <c r="B19" s="2" t="s">
        <v>2</v>
      </c>
      <c r="C19" s="2" t="s">
        <v>1</v>
      </c>
      <c r="D19" s="2">
        <v>2034</v>
      </c>
      <c r="E19" s="7">
        <v>45904</v>
      </c>
      <c r="F19" s="2">
        <v>0.51</v>
      </c>
      <c r="G19" s="2">
        <v>7.0000000000000007E-2</v>
      </c>
      <c r="H19" s="2">
        <v>0.03</v>
      </c>
      <c r="I19" s="2">
        <v>7.0299999999999994</v>
      </c>
      <c r="J19" s="6">
        <v>0.91749999999999998</v>
      </c>
      <c r="K19" s="6">
        <f>(1-Tabelle2[[#This Row],[Water Content (% of weight)]])*0.6</f>
        <v>4.9500000000000009E-2</v>
      </c>
      <c r="L19" s="6">
        <v>5.2566471648536998E-3</v>
      </c>
      <c r="O19" s="4">
        <v>61.552629081826318</v>
      </c>
      <c r="P19" s="4">
        <v>746.09247371910669</v>
      </c>
      <c r="Q19" s="4">
        <v>192.5000005722045</v>
      </c>
      <c r="R19" s="4">
        <v>2333.3333402691451</v>
      </c>
      <c r="S19" s="3">
        <v>1.0888306876962477</v>
      </c>
      <c r="T19" s="4">
        <v>13.197947729651485</v>
      </c>
    </row>
    <row r="20" spans="1:20" x14ac:dyDescent="0.3">
      <c r="A20" s="2" t="s">
        <v>38</v>
      </c>
      <c r="B20" s="2" t="s">
        <v>2</v>
      </c>
      <c r="C20" s="2" t="s">
        <v>1</v>
      </c>
      <c r="D20" s="2">
        <v>2034</v>
      </c>
      <c r="E20" s="7">
        <v>45904</v>
      </c>
      <c r="F20" s="2">
        <v>0.58000000000000007</v>
      </c>
      <c r="G20" s="2">
        <v>0.13500000000000001</v>
      </c>
      <c r="H20" s="2">
        <v>2.5000000000000001E-2</v>
      </c>
      <c r="I20" s="2">
        <v>4.2050000000000001</v>
      </c>
      <c r="J20" s="6">
        <v>0.91100000000000003</v>
      </c>
      <c r="K20" s="6">
        <f>(1-Tabelle2[[#This Row],[Water Content (% of weight)]])*0.6</f>
        <v>5.3399999999999982E-2</v>
      </c>
      <c r="L20" s="6">
        <v>5.8974782910019433E-3</v>
      </c>
      <c r="O20" s="4">
        <v>63.868420268359934</v>
      </c>
      <c r="P20" s="4">
        <v>717.62269964449388</v>
      </c>
      <c r="Q20" s="4">
        <v>122.90000734329249</v>
      </c>
      <c r="R20" s="4">
        <v>1380.8989589133992</v>
      </c>
      <c r="S20" s="3">
        <v>1.1576825824562842</v>
      </c>
      <c r="T20" s="4">
        <v>13.007669465800952</v>
      </c>
    </row>
    <row r="21" spans="1:20" x14ac:dyDescent="0.3">
      <c r="A21" s="2" t="s">
        <v>39</v>
      </c>
      <c r="B21" s="2" t="s">
        <v>2</v>
      </c>
      <c r="C21" s="2" t="s">
        <v>1</v>
      </c>
      <c r="D21" s="2">
        <v>2034</v>
      </c>
      <c r="E21" s="7">
        <v>45904</v>
      </c>
      <c r="F21" s="2">
        <v>0.67500000000000004</v>
      </c>
      <c r="G21" s="2">
        <v>0.1</v>
      </c>
      <c r="H21" s="2">
        <v>3.5000000000000003E-2</v>
      </c>
      <c r="I21" s="2">
        <v>6.5949999999999998</v>
      </c>
      <c r="J21" s="6">
        <v>0.91239999999999999</v>
      </c>
      <c r="K21" s="6">
        <f>(1-Tabelle2[[#This Row],[Water Content (% of weight)]])*0.6</f>
        <v>5.2560000000000003E-2</v>
      </c>
      <c r="L21" s="6">
        <v>3.4415308955832676E-3</v>
      </c>
      <c r="O21" s="4">
        <v>61.28947630054072</v>
      </c>
      <c r="P21" s="4">
        <v>699.65155594224552</v>
      </c>
      <c r="Q21" s="4">
        <v>175.05000290870652</v>
      </c>
      <c r="R21" s="4">
        <v>1998.2877044372888</v>
      </c>
      <c r="S21" s="3">
        <v>1.2140293026948377</v>
      </c>
      <c r="T21" s="4">
        <v>13.858781994233304</v>
      </c>
    </row>
    <row r="22" spans="1:20" x14ac:dyDescent="0.3">
      <c r="A22" s="2" t="s">
        <v>40</v>
      </c>
      <c r="B22" s="2" t="s">
        <v>0</v>
      </c>
      <c r="C22" s="2" t="s">
        <v>1</v>
      </c>
      <c r="D22" s="2">
        <v>2012</v>
      </c>
      <c r="E22" s="7">
        <v>45904</v>
      </c>
      <c r="F22" s="2">
        <v>0.48</v>
      </c>
      <c r="G22" s="2">
        <v>8.4999999999999992E-2</v>
      </c>
      <c r="H22" s="2">
        <v>2.5000000000000001E-2</v>
      </c>
      <c r="I22" s="2">
        <v>5.6749999999999998</v>
      </c>
      <c r="J22" s="6">
        <v>0.95330000000000004</v>
      </c>
      <c r="K22" s="6">
        <f>(1-Tabelle2[[#This Row],[Water Content (% of weight)]])*0.6</f>
        <v>2.8019999999999979E-2</v>
      </c>
      <c r="L22" s="6">
        <v>3.6090983907738202E-3</v>
      </c>
      <c r="O22" s="4">
        <v>70.947369826467408</v>
      </c>
      <c r="P22" s="4">
        <v>1519.2156279757487</v>
      </c>
      <c r="Q22" s="4">
        <v>97.100001251697535</v>
      </c>
      <c r="R22" s="4">
        <v>2079.2291488586211</v>
      </c>
      <c r="S22" s="3">
        <v>0.81724827786117127</v>
      </c>
      <c r="T22" s="4">
        <v>17.499963123365564</v>
      </c>
    </row>
    <row r="23" spans="1:20" x14ac:dyDescent="0.3">
      <c r="A23" s="2" t="s">
        <v>41</v>
      </c>
      <c r="B23" s="2" t="s">
        <v>0</v>
      </c>
      <c r="C23" s="2" t="s">
        <v>1</v>
      </c>
      <c r="D23" s="2">
        <v>2012</v>
      </c>
      <c r="E23" s="7">
        <v>45904</v>
      </c>
      <c r="F23" s="2">
        <v>0.59000000000000008</v>
      </c>
      <c r="G23" s="2">
        <v>0.1</v>
      </c>
      <c r="H23" s="2">
        <v>2.5000000000000001E-2</v>
      </c>
      <c r="I23" s="2">
        <v>5.88</v>
      </c>
      <c r="J23" s="6">
        <v>0.95</v>
      </c>
      <c r="K23" s="6">
        <f>(1-Tabelle2[[#This Row],[Water Content (% of weight)]])*0.6</f>
        <v>3.0000000000000027E-2</v>
      </c>
      <c r="L23" s="6">
        <v>3.4368237977932727E-3</v>
      </c>
      <c r="O23" s="4">
        <v>56.894735650012365</v>
      </c>
      <c r="P23" s="4">
        <v>1137.8947130002464</v>
      </c>
      <c r="Q23" s="4">
        <v>109.95000270605087</v>
      </c>
      <c r="R23" s="4">
        <v>2199.0000541210152</v>
      </c>
      <c r="S23" s="3">
        <v>0.86903430712213936</v>
      </c>
      <c r="T23" s="4">
        <v>17.380686142442773</v>
      </c>
    </row>
    <row r="24" spans="1:20" x14ac:dyDescent="0.3">
      <c r="A24" s="2" t="s">
        <v>42</v>
      </c>
      <c r="B24" s="2" t="s">
        <v>0</v>
      </c>
      <c r="C24" s="2" t="s">
        <v>1</v>
      </c>
      <c r="D24" s="2">
        <v>2012</v>
      </c>
      <c r="E24" s="7">
        <v>45904</v>
      </c>
      <c r="F24" s="2">
        <v>0.435</v>
      </c>
      <c r="G24" s="2">
        <v>0.16499999999999998</v>
      </c>
      <c r="H24" s="2">
        <v>0.03</v>
      </c>
      <c r="I24" s="2">
        <v>3.05</v>
      </c>
      <c r="J24" s="6">
        <v>0.95109999999999995</v>
      </c>
      <c r="K24" s="6">
        <f>(1-Tabelle2[[#This Row],[Water Content (% of weight)]])*0.6</f>
        <v>2.9340000000000033E-2</v>
      </c>
      <c r="L24" s="6">
        <v>4.6764052868274062E-3</v>
      </c>
      <c r="O24" s="4">
        <v>46.157896098337673</v>
      </c>
      <c r="P24" s="4">
        <v>943.92425558972639</v>
      </c>
      <c r="Q24" s="4">
        <v>127.00000075101852</v>
      </c>
      <c r="R24" s="4">
        <v>2597.1370296731775</v>
      </c>
      <c r="S24" s="3">
        <v>0.89492732175262335</v>
      </c>
      <c r="T24" s="4">
        <v>18.301172223980007</v>
      </c>
    </row>
    <row r="25" spans="1:20" x14ac:dyDescent="0.3">
      <c r="A25" s="2" t="s">
        <v>43</v>
      </c>
      <c r="B25" s="2" t="s">
        <v>0</v>
      </c>
      <c r="C25" s="2" t="s">
        <v>1</v>
      </c>
      <c r="D25" s="2">
        <v>2012</v>
      </c>
      <c r="E25" s="7">
        <v>45904</v>
      </c>
      <c r="F25" s="2">
        <v>0.53499999999999992</v>
      </c>
      <c r="G25" s="2">
        <v>0.13</v>
      </c>
      <c r="H25" s="2">
        <v>0.02</v>
      </c>
      <c r="I25" s="2">
        <v>4.085</v>
      </c>
      <c r="J25" s="6">
        <v>0.95509999999999995</v>
      </c>
      <c r="K25" s="6">
        <f>(1-Tabelle2[[#This Row],[Water Content (% of weight)]])*0.6</f>
        <v>2.694000000000003E-2</v>
      </c>
      <c r="L25" s="6">
        <v>3.0877022120533474E-3</v>
      </c>
      <c r="O25" s="4">
        <v>47.473680395829049</v>
      </c>
      <c r="P25" s="4">
        <v>1057.3202760763695</v>
      </c>
      <c r="Q25" s="4">
        <v>102.99999681711196</v>
      </c>
      <c r="R25" s="4">
        <v>2293.986566082669</v>
      </c>
      <c r="S25" s="3">
        <v>0.81621844653615183</v>
      </c>
      <c r="T25" s="4">
        <v>18.178584555370843</v>
      </c>
    </row>
    <row r="26" spans="1:20" x14ac:dyDescent="0.3">
      <c r="A26" s="2" t="s">
        <v>44</v>
      </c>
      <c r="B26" s="2" t="s">
        <v>2</v>
      </c>
      <c r="C26" s="2" t="s">
        <v>1</v>
      </c>
      <c r="D26" s="2">
        <v>2034</v>
      </c>
      <c r="E26" s="7">
        <v>45918</v>
      </c>
      <c r="F26" s="2">
        <v>0.59</v>
      </c>
      <c r="G26" s="2">
        <v>0.14500000000000002</v>
      </c>
      <c r="H26" s="2">
        <v>0.01</v>
      </c>
      <c r="I26" s="2">
        <v>4.1500000000000004</v>
      </c>
      <c r="J26" s="6">
        <v>0.93779999999999997</v>
      </c>
      <c r="K26" s="6">
        <f>(1-Tabelle2[[#This Row],[Water Content (% of weight)]])*0.6</f>
        <v>3.732000000000002E-2</v>
      </c>
      <c r="L26" s="6">
        <v>4.5953236939271242E-3</v>
      </c>
      <c r="O26" s="4">
        <v>31.964284820216044</v>
      </c>
      <c r="P26" s="4">
        <v>513.89525434430914</v>
      </c>
      <c r="Q26" s="4">
        <v>82.437503136694431</v>
      </c>
      <c r="R26" s="4">
        <v>1325.3617867635753</v>
      </c>
      <c r="S26" s="3">
        <v>0.58585744845019394</v>
      </c>
      <c r="T26" s="4">
        <v>9.4189300393921798</v>
      </c>
    </row>
    <row r="27" spans="1:20" x14ac:dyDescent="0.3">
      <c r="A27" s="2" t="s">
        <v>45</v>
      </c>
      <c r="B27" s="2" t="s">
        <v>2</v>
      </c>
      <c r="C27" s="2" t="s">
        <v>1</v>
      </c>
      <c r="D27" s="2">
        <v>2034</v>
      </c>
      <c r="E27" s="7">
        <v>45918</v>
      </c>
      <c r="F27" s="2">
        <v>0.48</v>
      </c>
      <c r="G27" s="2">
        <v>6.5000000000000002E-2</v>
      </c>
      <c r="H27" s="2">
        <v>0.05</v>
      </c>
      <c r="I27" s="2">
        <v>7.6099999999999994</v>
      </c>
      <c r="J27" s="6">
        <v>0.93940000000000001</v>
      </c>
      <c r="K27" s="6">
        <f>(1-Tabelle2[[#This Row],[Water Content (% of weight)]])*0.6</f>
        <v>3.635999999999999E-2</v>
      </c>
      <c r="L27" s="6">
        <v>5.4390247805638147E-3</v>
      </c>
      <c r="O27" s="4">
        <v>45.964282325335908</v>
      </c>
      <c r="P27" s="4">
        <v>758.48650701874453</v>
      </c>
      <c r="Q27" s="4">
        <v>86.156246237456799</v>
      </c>
      <c r="R27" s="4">
        <v>1421.7202349415315</v>
      </c>
      <c r="S27" s="3">
        <v>0.54525167517470863</v>
      </c>
      <c r="T27" s="4">
        <v>8.9975523956222556</v>
      </c>
    </row>
    <row r="28" spans="1:20" x14ac:dyDescent="0.3">
      <c r="A28" s="2" t="s">
        <v>46</v>
      </c>
      <c r="B28" s="2" t="s">
        <v>2</v>
      </c>
      <c r="C28" s="2" t="s">
        <v>1</v>
      </c>
      <c r="D28" s="2">
        <v>2034</v>
      </c>
      <c r="E28" s="7">
        <v>45918</v>
      </c>
      <c r="F28" s="2">
        <v>0.54</v>
      </c>
      <c r="G28" s="2">
        <v>0.09</v>
      </c>
      <c r="H28" s="2">
        <v>0.04</v>
      </c>
      <c r="I28" s="2">
        <v>6.2050000000000001</v>
      </c>
      <c r="J28" s="6">
        <v>0.93100000000000005</v>
      </c>
      <c r="K28" s="6">
        <f>(1-Tabelle2[[#This Row],[Water Content (% of weight)]])*0.6</f>
        <v>4.1399999999999972E-2</v>
      </c>
      <c r="L28" s="6">
        <v>5.1743404403153748E-3</v>
      </c>
      <c r="O28" s="4">
        <v>63.392856078488492</v>
      </c>
      <c r="P28" s="4">
        <v>918.73704461577586</v>
      </c>
      <c r="Q28" s="4">
        <v>72.531250756233931</v>
      </c>
      <c r="R28" s="4">
        <v>1051.1775471917967</v>
      </c>
      <c r="S28" s="3">
        <v>0.51434005138851024</v>
      </c>
      <c r="T28" s="4">
        <v>7.4542036433117485</v>
      </c>
    </row>
    <row r="29" spans="1:20" x14ac:dyDescent="0.3">
      <c r="A29" s="2" t="s">
        <v>47</v>
      </c>
      <c r="B29" s="2" t="s">
        <v>2</v>
      </c>
      <c r="C29" s="2" t="s">
        <v>1</v>
      </c>
      <c r="D29" s="2">
        <v>2034</v>
      </c>
      <c r="E29" s="7">
        <v>45918</v>
      </c>
      <c r="F29" s="2">
        <v>0.63</v>
      </c>
      <c r="G29" s="2">
        <v>5.5E-2</v>
      </c>
      <c r="H29" s="2">
        <v>3.5000000000000003E-2</v>
      </c>
      <c r="I29" s="2">
        <v>10.774999999999999</v>
      </c>
      <c r="J29" s="6">
        <v>0.9304</v>
      </c>
      <c r="K29" s="6">
        <f>(1-Tabelle2[[#This Row],[Water Content (% of weight)]])*0.6</f>
        <v>4.1759999999999999E-2</v>
      </c>
      <c r="L29" s="6">
        <v>4.9128451637111496E-3</v>
      </c>
      <c r="O29" s="4">
        <v>59.892860693590976</v>
      </c>
      <c r="P29" s="4">
        <v>860.52960766653712</v>
      </c>
      <c r="Q29" s="4">
        <v>81.093749016523361</v>
      </c>
      <c r="R29" s="4">
        <v>1165.1400720764852</v>
      </c>
      <c r="S29" s="3">
        <v>0.5357404105105803</v>
      </c>
      <c r="T29" s="4">
        <v>7.6974196912439705</v>
      </c>
    </row>
    <row r="30" spans="1:20" x14ac:dyDescent="0.3">
      <c r="A30" s="2" t="s">
        <v>48</v>
      </c>
      <c r="B30" s="2" t="s">
        <v>0</v>
      </c>
      <c r="C30" s="2" t="s">
        <v>1</v>
      </c>
      <c r="D30" s="2">
        <v>2012</v>
      </c>
      <c r="E30" s="7">
        <v>45918</v>
      </c>
      <c r="F30" s="2">
        <v>0.59000000000000008</v>
      </c>
      <c r="G30" s="2">
        <v>9.5000000000000001E-2</v>
      </c>
      <c r="H30" s="2">
        <v>3.5000000000000003E-2</v>
      </c>
      <c r="I30" s="2">
        <v>6.32</v>
      </c>
      <c r="J30" s="6">
        <v>0.94779999999999998</v>
      </c>
      <c r="K30" s="6">
        <f>(1-Tabelle2[[#This Row],[Water Content (% of weight)]])*0.6</f>
        <v>3.1320000000000014E-2</v>
      </c>
      <c r="L30" s="6">
        <v>4.0421248279093967E-3</v>
      </c>
      <c r="O30" s="4">
        <v>73.000001907348633</v>
      </c>
      <c r="P30" s="4">
        <v>1398.4674694894368</v>
      </c>
      <c r="Q30" s="4">
        <v>83.750002071261406</v>
      </c>
      <c r="R30" s="4">
        <v>1604.4061699475358</v>
      </c>
      <c r="S30" s="3">
        <v>0.5686640399291496</v>
      </c>
      <c r="T30" s="4">
        <v>10.893947125079489</v>
      </c>
    </row>
    <row r="31" spans="1:20" x14ac:dyDescent="0.3">
      <c r="A31" s="2" t="s">
        <v>49</v>
      </c>
      <c r="B31" s="2" t="s">
        <v>0</v>
      </c>
      <c r="C31" s="2" t="s">
        <v>1</v>
      </c>
      <c r="D31" s="2">
        <v>2012</v>
      </c>
      <c r="E31" s="7">
        <v>45918</v>
      </c>
      <c r="F31" s="2">
        <v>0.53500000000000003</v>
      </c>
      <c r="G31" s="2">
        <v>0.125</v>
      </c>
      <c r="H31" s="2">
        <v>0.01</v>
      </c>
      <c r="I31" s="2">
        <v>4.3650000000000002</v>
      </c>
      <c r="J31" s="6">
        <v>0.95660000000000001</v>
      </c>
      <c r="K31" s="6">
        <f>(1-Tabelle2[[#This Row],[Water Content (% of weight)]])*0.6</f>
        <v>2.6039999999999997E-2</v>
      </c>
      <c r="L31" s="6">
        <v>3.5538341900919384E-3</v>
      </c>
      <c r="O31" s="4">
        <v>53.928569810731076</v>
      </c>
      <c r="P31" s="4">
        <v>1242.5937744408084</v>
      </c>
      <c r="Q31" s="4">
        <v>86.968746021389961</v>
      </c>
      <c r="R31" s="4">
        <v>2003.8881571748841</v>
      </c>
      <c r="S31" s="3">
        <v>0.58128472819885091</v>
      </c>
      <c r="T31" s="4">
        <v>13.393657331770759</v>
      </c>
    </row>
    <row r="32" spans="1:20" x14ac:dyDescent="0.3">
      <c r="A32" s="2" t="s">
        <v>50</v>
      </c>
      <c r="B32" s="2" t="s">
        <v>0</v>
      </c>
      <c r="C32" s="2" t="s">
        <v>1</v>
      </c>
      <c r="D32" s="2">
        <v>2012</v>
      </c>
      <c r="E32" s="7">
        <v>45918</v>
      </c>
      <c r="F32" s="2">
        <v>0.51500000000000001</v>
      </c>
      <c r="G32" s="2">
        <v>0.19500000000000001</v>
      </c>
      <c r="H32" s="2">
        <v>5.0000000000000001E-3</v>
      </c>
      <c r="I32" s="2">
        <v>2.66</v>
      </c>
      <c r="J32" s="6">
        <v>0.93730000000000002</v>
      </c>
      <c r="K32" s="6">
        <f>(1-Tabelle2[[#This Row],[Water Content (% of weight)]])*0.6</f>
        <v>3.7619999999999987E-2</v>
      </c>
      <c r="L32" s="6">
        <v>3.7634862258130236E-3</v>
      </c>
      <c r="O32" s="4">
        <v>39.357144704886842</v>
      </c>
      <c r="P32" s="4">
        <v>627.70565717522891</v>
      </c>
      <c r="Q32" s="4">
        <v>73.937501277774572</v>
      </c>
      <c r="R32" s="4">
        <v>1179.2264956582871</v>
      </c>
      <c r="S32" s="3">
        <v>0.5487269229417242</v>
      </c>
      <c r="T32" s="4">
        <v>8.7516255652587631</v>
      </c>
    </row>
    <row r="33" spans="1:20" x14ac:dyDescent="0.3">
      <c r="A33" s="2" t="s">
        <v>51</v>
      </c>
      <c r="B33" s="2" t="s">
        <v>0</v>
      </c>
      <c r="C33" s="2" t="s">
        <v>1</v>
      </c>
      <c r="D33" s="2">
        <v>2012</v>
      </c>
      <c r="E33" s="7">
        <v>45918</v>
      </c>
      <c r="F33" s="2">
        <v>0.505</v>
      </c>
      <c r="G33" s="2">
        <v>0.18</v>
      </c>
      <c r="H33" s="2">
        <v>1.4999999999999999E-2</v>
      </c>
      <c r="I33" s="2">
        <v>2.835</v>
      </c>
      <c r="J33" s="6">
        <v>0.94989999999999997</v>
      </c>
      <c r="K33" s="6">
        <f>(1-Tabelle2[[#This Row],[Water Content (% of weight)]])*0.6</f>
        <v>3.0060000000000017E-2</v>
      </c>
      <c r="L33" s="6">
        <v>3.4627929315306774E-3</v>
      </c>
      <c r="O33" s="4">
        <v>41.142851965768003</v>
      </c>
      <c r="P33" s="4">
        <v>821.21461009516918</v>
      </c>
      <c r="Q33" s="4">
        <v>83.093750275671482</v>
      </c>
      <c r="R33" s="4">
        <v>1658.5578897339606</v>
      </c>
      <c r="S33" s="3">
        <v>0.58494291530215048</v>
      </c>
      <c r="T33" s="4">
        <v>11.675507291460082</v>
      </c>
    </row>
    <row r="34" spans="1:20" x14ac:dyDescent="0.3">
      <c r="A34" s="2" t="s">
        <v>72</v>
      </c>
      <c r="B34" s="2" t="s">
        <v>2</v>
      </c>
      <c r="C34" s="2" t="s">
        <v>1</v>
      </c>
      <c r="D34" s="2">
        <v>2034</v>
      </c>
      <c r="E34" s="7">
        <v>45932</v>
      </c>
      <c r="F34" s="4">
        <v>0.50666666666666671</v>
      </c>
      <c r="G34" s="4">
        <v>0.14000000000000001</v>
      </c>
      <c r="H34" s="4">
        <v>3.6666666666666667E-2</v>
      </c>
      <c r="I34" s="4">
        <v>3.8433333333333333</v>
      </c>
      <c r="J34" s="6">
        <v>0.93110000000000004</v>
      </c>
      <c r="K34" s="6">
        <f>(1-Tabelle2[[#This Row],[Water Content (% of weight)]])*0.6</f>
        <v>4.1339999999999974E-2</v>
      </c>
      <c r="L34" s="6">
        <v>5.6312051171370356E-3</v>
      </c>
      <c r="M34" s="43">
        <v>31.875</v>
      </c>
      <c r="N34" s="43">
        <v>21.484999999999999</v>
      </c>
      <c r="O34" s="4">
        <v>56.725353128473522</v>
      </c>
      <c r="P34" s="4">
        <v>823.29975513024021</v>
      </c>
      <c r="Q34" s="4">
        <v>101.3928605573518</v>
      </c>
      <c r="R34" s="4">
        <v>1471.5944928498093</v>
      </c>
      <c r="S34" s="3">
        <v>0.59722347017235944</v>
      </c>
      <c r="T34" s="4">
        <v>8.6679748936481822</v>
      </c>
    </row>
    <row r="35" spans="1:20" x14ac:dyDescent="0.3">
      <c r="A35" s="2" t="s">
        <v>73</v>
      </c>
      <c r="B35" s="2" t="s">
        <v>2</v>
      </c>
      <c r="C35" s="2" t="s">
        <v>1</v>
      </c>
      <c r="D35" s="2">
        <v>2034</v>
      </c>
      <c r="E35" s="7">
        <v>45932</v>
      </c>
      <c r="F35" s="4">
        <v>0.51666666666666661</v>
      </c>
      <c r="G35" s="4">
        <v>0.10333333333333333</v>
      </c>
      <c r="H35" s="4">
        <v>6.6666666666666671E-3</v>
      </c>
      <c r="I35" s="4">
        <v>5.2366666666666664</v>
      </c>
      <c r="J35" s="6">
        <v>0.93489999999999995</v>
      </c>
      <c r="K35" s="6">
        <f>(1-Tabelle2[[#This Row],[Water Content (% of weight)]])*0.6</f>
        <v>3.9060000000000025E-2</v>
      </c>
      <c r="L35" s="6">
        <v>5.5178056495148288E-3</v>
      </c>
      <c r="M35" s="43">
        <v>31.024999999999999</v>
      </c>
      <c r="N35" s="43">
        <v>20.745000000000001</v>
      </c>
      <c r="O35" s="4">
        <v>62.464787212895672</v>
      </c>
      <c r="P35" s="4">
        <v>959.52054090469471</v>
      </c>
      <c r="Q35" s="4">
        <v>91.428571147578111</v>
      </c>
      <c r="R35" s="4">
        <v>1404.4327365219362</v>
      </c>
      <c r="S35" s="3">
        <v>0.53411067586262784</v>
      </c>
      <c r="T35" s="4">
        <v>8.2044650670142474</v>
      </c>
    </row>
    <row r="36" spans="1:20" x14ac:dyDescent="0.3">
      <c r="A36" s="2" t="s">
        <v>74</v>
      </c>
      <c r="B36" s="2" t="s">
        <v>2</v>
      </c>
      <c r="C36" s="2" t="s">
        <v>1</v>
      </c>
      <c r="D36" s="2">
        <v>2034</v>
      </c>
      <c r="E36" s="7">
        <v>45932</v>
      </c>
      <c r="F36" s="4">
        <v>0.48333333333333334</v>
      </c>
      <c r="G36" s="4">
        <v>0.11666666666666668</v>
      </c>
      <c r="H36" s="4">
        <v>0.02</v>
      </c>
      <c r="I36" s="4">
        <v>4.2233333333333336</v>
      </c>
      <c r="J36" s="6">
        <v>0.92479999999999996</v>
      </c>
      <c r="K36" s="6">
        <f>(1-Tabelle2[[#This Row],[Water Content (% of weight)]])*0.6</f>
        <v>4.5120000000000028E-2</v>
      </c>
      <c r="L36" s="6">
        <v>5.3293753175211586E-3</v>
      </c>
      <c r="M36" s="43">
        <v>29.95</v>
      </c>
      <c r="N36" s="43">
        <v>20.234999999999999</v>
      </c>
      <c r="O36" s="4">
        <v>50.563381927114129</v>
      </c>
      <c r="P36" s="4">
        <v>672.38539796694283</v>
      </c>
      <c r="Q36" s="4">
        <v>93.714286872318823</v>
      </c>
      <c r="R36" s="4">
        <v>1246.2006233021114</v>
      </c>
      <c r="S36" s="3">
        <v>0.56423531283841144</v>
      </c>
      <c r="T36" s="4">
        <v>7.5031291600852539</v>
      </c>
    </row>
    <row r="37" spans="1:20" x14ac:dyDescent="0.3">
      <c r="A37" s="2" t="s">
        <v>75</v>
      </c>
      <c r="B37" s="2" t="s">
        <v>2</v>
      </c>
      <c r="C37" s="2" t="s">
        <v>1</v>
      </c>
      <c r="D37" s="2">
        <v>2034</v>
      </c>
      <c r="E37" s="7">
        <v>45932</v>
      </c>
      <c r="F37" s="4">
        <v>0.46666666666666662</v>
      </c>
      <c r="G37" s="4">
        <v>0.13</v>
      </c>
      <c r="H37" s="4">
        <v>2.3333333333333334E-2</v>
      </c>
      <c r="I37" s="4">
        <v>3.8666666666666671</v>
      </c>
      <c r="J37" s="6">
        <v>0.92569999999999997</v>
      </c>
      <c r="K37" s="6">
        <f>(1-Tabelle2[[#This Row],[Water Content (% of weight)]])*0.6</f>
        <v>4.4580000000000015E-2</v>
      </c>
      <c r="L37" s="6">
        <v>5.2481106801546325E-3</v>
      </c>
      <c r="M37" s="43">
        <v>30.875</v>
      </c>
      <c r="N37" s="43">
        <v>18.134999999999998</v>
      </c>
      <c r="O37" s="4">
        <v>45.880280141259583</v>
      </c>
      <c r="P37" s="4">
        <v>617.50040566971143</v>
      </c>
      <c r="Q37" s="4">
        <v>88.214284241199493</v>
      </c>
      <c r="R37" s="4">
        <v>1187.2716586971662</v>
      </c>
      <c r="S37" s="3">
        <v>0.49596811361145943</v>
      </c>
      <c r="T37" s="4">
        <v>6.6752101428191013</v>
      </c>
    </row>
    <row r="38" spans="1:20" x14ac:dyDescent="0.3">
      <c r="A38" s="2" t="s">
        <v>76</v>
      </c>
      <c r="B38" s="2" t="s">
        <v>0</v>
      </c>
      <c r="C38" s="2" t="s">
        <v>1</v>
      </c>
      <c r="D38" s="2">
        <v>2012</v>
      </c>
      <c r="E38" s="7">
        <v>45932</v>
      </c>
      <c r="F38" s="4">
        <v>0.71333333333333337</v>
      </c>
      <c r="G38" s="4">
        <v>0.10666666666666667</v>
      </c>
      <c r="H38" s="4">
        <v>0.02</v>
      </c>
      <c r="I38" s="4">
        <v>6.6133333333333333</v>
      </c>
      <c r="J38" s="6">
        <v>0.95240000000000002</v>
      </c>
      <c r="K38" s="6">
        <f>(1-Tabelle2[[#This Row],[Water Content (% of weight)]])*0.6</f>
        <v>2.8559999999999985E-2</v>
      </c>
      <c r="L38" s="6">
        <v>3.3155972045743644E-3</v>
      </c>
      <c r="M38" s="43">
        <v>41.674999999999997</v>
      </c>
      <c r="N38" s="43">
        <v>35.299999999999997</v>
      </c>
      <c r="O38" s="4">
        <v>38.908449193121683</v>
      </c>
      <c r="P38" s="4">
        <v>817.40439481348119</v>
      </c>
      <c r="Q38" s="4">
        <v>75.785715298993253</v>
      </c>
      <c r="R38" s="4">
        <v>1592.1368760292708</v>
      </c>
      <c r="S38" s="3">
        <v>0.47466322857486132</v>
      </c>
      <c r="T38" s="4">
        <v>9.9719165666987717</v>
      </c>
    </row>
    <row r="39" spans="1:20" x14ac:dyDescent="0.3">
      <c r="A39" s="2" t="s">
        <v>77</v>
      </c>
      <c r="B39" s="2" t="s">
        <v>0</v>
      </c>
      <c r="C39" s="2" t="s">
        <v>1</v>
      </c>
      <c r="D39" s="2">
        <v>2012</v>
      </c>
      <c r="E39" s="7">
        <v>45932</v>
      </c>
      <c r="F39" s="4">
        <v>0.68333333333333324</v>
      </c>
      <c r="G39" s="4">
        <v>0.11333333333333333</v>
      </c>
      <c r="H39" s="4">
        <v>0.02</v>
      </c>
      <c r="I39" s="4">
        <v>6.0733333333333341</v>
      </c>
      <c r="J39" s="6">
        <v>0.94899999999999995</v>
      </c>
      <c r="K39" s="6">
        <f>(1-Tabelle2[[#This Row],[Water Content (% of weight)]])*0.6</f>
        <v>3.0600000000000026E-2</v>
      </c>
      <c r="L39" s="6">
        <v>3.6327874116892358E-3</v>
      </c>
      <c r="M39" s="43">
        <v>46.974999999999994</v>
      </c>
      <c r="N39" s="43">
        <v>47.125</v>
      </c>
      <c r="O39" s="4">
        <v>59.788732797327171</v>
      </c>
      <c r="P39" s="4">
        <v>1172.3280940652376</v>
      </c>
      <c r="Q39" s="4">
        <v>78.178573033639367</v>
      </c>
      <c r="R39" s="4">
        <v>1532.9131967380254</v>
      </c>
      <c r="S39" s="3">
        <v>0.47798495998109908</v>
      </c>
      <c r="T39" s="4">
        <v>9.3722541172764444</v>
      </c>
    </row>
    <row r="40" spans="1:20" x14ac:dyDescent="0.3">
      <c r="A40" s="2" t="s">
        <v>78</v>
      </c>
      <c r="B40" s="2" t="s">
        <v>0</v>
      </c>
      <c r="C40" s="2" t="s">
        <v>1</v>
      </c>
      <c r="D40" s="2">
        <v>2012</v>
      </c>
      <c r="E40" s="7">
        <v>45932</v>
      </c>
      <c r="F40" s="4">
        <v>0.47666666666666663</v>
      </c>
      <c r="G40" s="4">
        <v>0.13333333333333333</v>
      </c>
      <c r="H40" s="4">
        <v>0.01</v>
      </c>
      <c r="I40" s="4">
        <v>4.003333333333333</v>
      </c>
      <c r="J40" s="6">
        <v>0.94410000000000005</v>
      </c>
      <c r="K40" s="6">
        <f>(1-Tabelle2[[#This Row],[Water Content (% of weight)]])*0.6</f>
        <v>3.3539999999999966E-2</v>
      </c>
      <c r="L40" s="6">
        <v>3.8220576066828817E-3</v>
      </c>
      <c r="M40" s="43">
        <v>44.075000000000003</v>
      </c>
      <c r="N40" s="43">
        <v>39.164999999999999</v>
      </c>
      <c r="O40" s="4">
        <v>45.704223446443045</v>
      </c>
      <c r="P40" s="4">
        <v>817.60685950703191</v>
      </c>
      <c r="Q40" s="4">
        <v>82.714286931923468</v>
      </c>
      <c r="R40" s="4">
        <v>1479.6831293725143</v>
      </c>
      <c r="S40" s="3">
        <v>0.41785028146187803</v>
      </c>
      <c r="T40" s="4">
        <v>7.4749603123770738</v>
      </c>
    </row>
    <row r="41" spans="1:20" x14ac:dyDescent="0.3">
      <c r="A41" s="2" t="s">
        <v>79</v>
      </c>
      <c r="B41" s="2" t="s">
        <v>0</v>
      </c>
      <c r="C41" s="2" t="s">
        <v>1</v>
      </c>
      <c r="D41" s="2">
        <v>2012</v>
      </c>
      <c r="E41" s="7">
        <v>45932</v>
      </c>
      <c r="F41" s="4">
        <v>0.59</v>
      </c>
      <c r="G41" s="4">
        <v>0.12666666666666668</v>
      </c>
      <c r="H41" s="4">
        <v>6.6666666666666671E-3</v>
      </c>
      <c r="I41" s="4">
        <v>4.6833333333333327</v>
      </c>
      <c r="J41" s="6">
        <v>0.95</v>
      </c>
      <c r="K41" s="6">
        <f>(1-Tabelle2[[#This Row],[Water Content (% of weight)]])*0.6</f>
        <v>3.0000000000000027E-2</v>
      </c>
      <c r="L41" s="6">
        <v>4.2946252416344961E-3</v>
      </c>
      <c r="M41" s="43">
        <v>42.150000000000006</v>
      </c>
      <c r="N41" s="43">
        <v>36.625</v>
      </c>
      <c r="O41" s="4">
        <v>42.676055641241483</v>
      </c>
      <c r="P41" s="4">
        <v>853.52111282482895</v>
      </c>
      <c r="Q41" s="4">
        <v>71.392858300890239</v>
      </c>
      <c r="R41" s="4">
        <v>1427.8571660178036</v>
      </c>
      <c r="S41" s="3">
        <v>0.43800972421894818</v>
      </c>
      <c r="T41" s="4">
        <v>8.760194484378955</v>
      </c>
    </row>
    <row r="42" spans="1:20" x14ac:dyDescent="0.3">
      <c r="A42" s="2" t="s">
        <v>82</v>
      </c>
      <c r="B42" s="2" t="s">
        <v>2</v>
      </c>
      <c r="C42" s="2" t="s">
        <v>1</v>
      </c>
      <c r="D42" s="2">
        <v>2034</v>
      </c>
      <c r="E42" s="7">
        <v>45946</v>
      </c>
      <c r="F42" s="2">
        <v>0.57499999999999996</v>
      </c>
      <c r="G42" s="2">
        <v>0.1</v>
      </c>
      <c r="H42" s="2">
        <v>1.4999999999999999E-2</v>
      </c>
      <c r="I42" s="2">
        <v>5.9749999999999996</v>
      </c>
      <c r="J42" s="6">
        <v>0.9304</v>
      </c>
      <c r="K42" s="6">
        <f>(1-Tabelle2[[#This Row],[Water Content (% of weight)]])*0.6</f>
        <v>4.1759999999999999E-2</v>
      </c>
      <c r="L42" s="6">
        <v>4.722141447133954E-3</v>
      </c>
      <c r="M42" s="43">
        <v>34.274999999999999</v>
      </c>
      <c r="N42" s="43">
        <v>23.65</v>
      </c>
      <c r="O42" s="4">
        <v>40.615943402483843</v>
      </c>
      <c r="P42" s="4">
        <v>583.56240520810127</v>
      </c>
      <c r="Q42" s="4">
        <v>83.00000011920929</v>
      </c>
      <c r="R42" s="4">
        <v>1192.5287373449612</v>
      </c>
      <c r="S42" s="3">
        <v>0.52909293380151268</v>
      </c>
      <c r="T42" s="4">
        <v>7.6019099684125386</v>
      </c>
    </row>
    <row r="43" spans="1:20" x14ac:dyDescent="0.3">
      <c r="A43" s="2" t="s">
        <v>83</v>
      </c>
      <c r="B43" s="2" t="s">
        <v>2</v>
      </c>
      <c r="C43" s="2" t="s">
        <v>1</v>
      </c>
      <c r="D43" s="2">
        <v>2034</v>
      </c>
      <c r="E43" s="7">
        <v>45946</v>
      </c>
      <c r="F43" s="2">
        <v>0.67500000000000004</v>
      </c>
      <c r="G43" s="2">
        <v>7.5000000000000011E-2</v>
      </c>
      <c r="H43" s="2">
        <v>3.5000000000000003E-2</v>
      </c>
      <c r="I43" s="2">
        <v>8.9849999999999994</v>
      </c>
      <c r="J43" s="6">
        <v>0.9365</v>
      </c>
      <c r="K43" s="6">
        <f>(1-Tabelle2[[#This Row],[Water Content (% of weight)]])*0.6</f>
        <v>3.8100000000000002E-2</v>
      </c>
      <c r="L43" s="6">
        <v>4.2368869878665182E-3</v>
      </c>
      <c r="M43" s="43">
        <v>30.45</v>
      </c>
      <c r="N43" s="43">
        <v>17.634999999999998</v>
      </c>
      <c r="O43" s="4">
        <v>53.514491112335875</v>
      </c>
      <c r="P43" s="4">
        <v>842.74789153284837</v>
      </c>
      <c r="Q43" s="4">
        <v>73.718746677041054</v>
      </c>
      <c r="R43" s="4">
        <v>1160.9251445203315</v>
      </c>
      <c r="S43" s="3">
        <v>0.43581687209996778</v>
      </c>
      <c r="T43" s="4">
        <v>6.8632578283459491</v>
      </c>
    </row>
    <row r="44" spans="1:20" x14ac:dyDescent="0.3">
      <c r="A44" s="2" t="s">
        <v>84</v>
      </c>
      <c r="B44" s="2" t="s">
        <v>2</v>
      </c>
      <c r="C44" s="2" t="s">
        <v>1</v>
      </c>
      <c r="D44" s="2">
        <v>2034</v>
      </c>
      <c r="E44" s="7">
        <v>45946</v>
      </c>
      <c r="F44" s="2">
        <v>0.57499999999999996</v>
      </c>
      <c r="G44" s="2">
        <v>0.1</v>
      </c>
      <c r="H44" s="2">
        <v>0.01</v>
      </c>
      <c r="I44" s="2">
        <v>5.88</v>
      </c>
      <c r="J44" s="6">
        <v>0.92900000000000005</v>
      </c>
      <c r="K44" s="6">
        <f>(1-Tabelle2[[#This Row],[Water Content (% of weight)]])*0.6</f>
        <v>4.2599999999999971E-2</v>
      </c>
      <c r="L44" s="6">
        <v>4.2738456622463377E-3</v>
      </c>
      <c r="M44" s="43">
        <v>31.900000000000002</v>
      </c>
      <c r="N44" s="43">
        <v>19.850000000000001</v>
      </c>
      <c r="O44" s="4">
        <v>45.579709160155154</v>
      </c>
      <c r="P44" s="4">
        <v>641.967734650073</v>
      </c>
      <c r="Q44" s="4">
        <v>88.937498182058334</v>
      </c>
      <c r="R44" s="4">
        <v>1252.6408194656112</v>
      </c>
      <c r="S44" s="3">
        <v>0.47935527065730926</v>
      </c>
      <c r="T44" s="4">
        <v>6.7514826853142198</v>
      </c>
    </row>
    <row r="45" spans="1:20" x14ac:dyDescent="0.3">
      <c r="A45" s="2" t="s">
        <v>85</v>
      </c>
      <c r="B45" s="2" t="s">
        <v>2</v>
      </c>
      <c r="C45" s="2" t="s">
        <v>1</v>
      </c>
      <c r="D45" s="2">
        <v>2034</v>
      </c>
      <c r="E45" s="7">
        <v>45946</v>
      </c>
      <c r="F45" s="2">
        <v>0.66999999999999993</v>
      </c>
      <c r="G45" s="2">
        <v>8.4999999999999992E-2</v>
      </c>
      <c r="H45" s="2">
        <v>2.5000000000000001E-2</v>
      </c>
      <c r="I45" s="2">
        <v>8.0150000000000006</v>
      </c>
      <c r="J45" s="6">
        <v>0.92500000000000004</v>
      </c>
      <c r="K45" s="6">
        <f>(1-Tabelle2[[#This Row],[Water Content (% of weight)]])*0.6</f>
        <v>4.4999999999999971E-2</v>
      </c>
      <c r="L45" s="6">
        <v>4.074492874015203E-3</v>
      </c>
      <c r="M45" s="43">
        <v>32.024999999999999</v>
      </c>
      <c r="N45" s="43">
        <v>20.71</v>
      </c>
      <c r="O45" s="4">
        <v>39.130432605743415</v>
      </c>
      <c r="P45" s="4">
        <v>521.73910140991256</v>
      </c>
      <c r="Q45" s="4">
        <v>84.500002227723598</v>
      </c>
      <c r="R45" s="4">
        <v>1126.6666963696487</v>
      </c>
      <c r="S45" s="3">
        <v>0.47214692737891062</v>
      </c>
      <c r="T45" s="4">
        <v>6.2952923650521457</v>
      </c>
    </row>
    <row r="46" spans="1:20" x14ac:dyDescent="0.3">
      <c r="A46" s="2" t="s">
        <v>86</v>
      </c>
      <c r="B46" s="2" t="s">
        <v>0</v>
      </c>
      <c r="C46" s="2" t="s">
        <v>1</v>
      </c>
      <c r="D46" s="2">
        <v>2012</v>
      </c>
      <c r="E46" s="7">
        <v>45946</v>
      </c>
      <c r="F46" s="2">
        <v>0.69</v>
      </c>
      <c r="G46" s="2">
        <v>0.12000000000000001</v>
      </c>
      <c r="H46" s="2">
        <v>5.0000000000000001E-3</v>
      </c>
      <c r="I46" s="2">
        <v>6.0549999999999997</v>
      </c>
      <c r="J46" s="6">
        <v>0.96379999999999999</v>
      </c>
      <c r="K46" s="6">
        <f>(1-Tabelle2[[#This Row],[Water Content (% of weight)]])*0.6</f>
        <v>2.1720000000000007E-2</v>
      </c>
      <c r="L46" s="6">
        <v>3.0614463348900413E-3</v>
      </c>
      <c r="M46" s="43">
        <v>42.075000000000003</v>
      </c>
      <c r="N46" s="43">
        <v>37.480000000000004</v>
      </c>
      <c r="O46" s="4">
        <v>27.681157796279244</v>
      </c>
      <c r="P46" s="4">
        <v>764.67286730053138</v>
      </c>
      <c r="Q46" s="4">
        <v>80.187499076128006</v>
      </c>
      <c r="R46" s="4">
        <v>2215.1242838709386</v>
      </c>
      <c r="S46" s="3">
        <v>0.36373335338575152</v>
      </c>
      <c r="T46" s="4">
        <v>10.047882690214127</v>
      </c>
    </row>
    <row r="47" spans="1:20" x14ac:dyDescent="0.3">
      <c r="A47" s="2" t="s">
        <v>87</v>
      </c>
      <c r="B47" s="2" t="s">
        <v>0</v>
      </c>
      <c r="C47" s="2" t="s">
        <v>1</v>
      </c>
      <c r="D47" s="2">
        <v>2012</v>
      </c>
      <c r="E47" s="7">
        <v>45946</v>
      </c>
      <c r="F47" s="2">
        <v>0.67500000000000004</v>
      </c>
      <c r="G47" s="2">
        <v>0.11</v>
      </c>
      <c r="H47" s="2">
        <v>0.01</v>
      </c>
      <c r="I47" s="2">
        <v>6.07</v>
      </c>
      <c r="J47" s="6">
        <v>0.94599999999999995</v>
      </c>
      <c r="K47" s="6">
        <f>(1-Tabelle2[[#This Row],[Water Content (% of weight)]])*0.6</f>
        <v>3.2400000000000026E-2</v>
      </c>
      <c r="L47" s="6">
        <v>3.9479240851015372E-3</v>
      </c>
      <c r="M47" s="43">
        <v>40.4</v>
      </c>
      <c r="N47" s="43">
        <v>33.24</v>
      </c>
      <c r="O47" s="4">
        <v>34.927538495132893</v>
      </c>
      <c r="P47" s="4">
        <v>646.80626842838637</v>
      </c>
      <c r="Q47" s="4">
        <v>75.562499947845936</v>
      </c>
      <c r="R47" s="4">
        <v>1399.3055545897382</v>
      </c>
      <c r="S47" s="3">
        <v>0.46940777240056059</v>
      </c>
      <c r="T47" s="4">
        <v>8.692736525936299</v>
      </c>
    </row>
    <row r="48" spans="1:20" x14ac:dyDescent="0.3">
      <c r="A48" s="2" t="s">
        <v>88</v>
      </c>
      <c r="B48" s="2" t="s">
        <v>0</v>
      </c>
      <c r="C48" s="2" t="s">
        <v>1</v>
      </c>
      <c r="D48" s="2">
        <v>2012</v>
      </c>
      <c r="E48" s="7">
        <v>45946</v>
      </c>
      <c r="F48" s="2">
        <v>0.54999999999999993</v>
      </c>
      <c r="G48" s="2">
        <v>0.155</v>
      </c>
      <c r="H48" s="2">
        <v>0.03</v>
      </c>
      <c r="I48" s="2">
        <v>4.0149999999999997</v>
      </c>
      <c r="J48" s="6">
        <v>0.94769999999999999</v>
      </c>
      <c r="K48" s="6">
        <f>(1-Tabelle2[[#This Row],[Water Content (% of weight)]])*0.6</f>
        <v>3.1380000000000005E-2</v>
      </c>
      <c r="L48" s="6">
        <v>3.4474273970594152E-3</v>
      </c>
      <c r="M48" s="43">
        <v>39.475000000000001</v>
      </c>
      <c r="N48" s="43">
        <v>30.335000000000001</v>
      </c>
      <c r="O48" s="4">
        <v>33.007245828276098</v>
      </c>
      <c r="P48" s="4">
        <v>631.11368696512602</v>
      </c>
      <c r="Q48" s="4">
        <v>67.875000201165676</v>
      </c>
      <c r="R48" s="4">
        <v>1297.8011510739132</v>
      </c>
      <c r="S48" s="3">
        <v>0.40467678789077527</v>
      </c>
      <c r="T48" s="4">
        <v>7.7376058870129096</v>
      </c>
    </row>
    <row r="49" spans="1:20" x14ac:dyDescent="0.3">
      <c r="A49" s="2" t="s">
        <v>89</v>
      </c>
      <c r="B49" s="2" t="s">
        <v>0</v>
      </c>
      <c r="C49" s="2" t="s">
        <v>1</v>
      </c>
      <c r="D49" s="2">
        <v>2012</v>
      </c>
      <c r="E49" s="7">
        <v>45946</v>
      </c>
      <c r="F49" s="2">
        <v>0.755</v>
      </c>
      <c r="G49" s="2">
        <v>9.5000000000000001E-2</v>
      </c>
      <c r="H49" s="2">
        <v>0.02</v>
      </c>
      <c r="I49" s="2">
        <v>8.2199999999999989</v>
      </c>
      <c r="J49" s="6">
        <v>0.95399999999999996</v>
      </c>
      <c r="K49" s="6">
        <f>(1-Tabelle2[[#This Row],[Water Content (% of weight)]])*0.6</f>
        <v>2.7600000000000024E-2</v>
      </c>
      <c r="L49" s="6">
        <v>3.2482303376167752E-3</v>
      </c>
      <c r="M49" s="43">
        <v>43.674999999999997</v>
      </c>
      <c r="N49" s="43">
        <v>39.045000000000002</v>
      </c>
      <c r="O49" s="4">
        <v>21.231886640838958</v>
      </c>
      <c r="P49" s="4">
        <v>461.56275306171608</v>
      </c>
      <c r="Q49" s="4">
        <v>59.000001307576881</v>
      </c>
      <c r="R49" s="4">
        <v>1282.6087240777572</v>
      </c>
      <c r="S49" s="3">
        <v>0.35868753027691852</v>
      </c>
      <c r="T49" s="4">
        <v>7.7975550060199605</v>
      </c>
    </row>
    <row r="50" spans="1:20" x14ac:dyDescent="0.3">
      <c r="A50" s="2" t="s">
        <v>101</v>
      </c>
      <c r="B50" s="2" t="s">
        <v>2</v>
      </c>
      <c r="C50" s="2" t="s">
        <v>1</v>
      </c>
      <c r="D50" s="2">
        <v>2034</v>
      </c>
      <c r="E50" s="7">
        <v>45960</v>
      </c>
      <c r="F50" s="2">
        <v>0.62</v>
      </c>
      <c r="G50" s="2">
        <v>7.0000000000000007E-2</v>
      </c>
      <c r="H50" s="2">
        <v>3.5000000000000003E-2</v>
      </c>
      <c r="I50" s="2">
        <v>9.69</v>
      </c>
      <c r="J50" s="6">
        <v>0.93469999999999998</v>
      </c>
      <c r="K50" s="6">
        <f>(1-Tabelle2[[#This Row],[Water Content (% of weight)]])*0.6</f>
        <v>3.9180000000000013E-2</v>
      </c>
      <c r="L50" s="6">
        <v>5.580502245201853E-3</v>
      </c>
      <c r="M50" s="43">
        <v>33.75</v>
      </c>
      <c r="N50" s="43">
        <v>21.125</v>
      </c>
      <c r="O50" s="4">
        <v>19.214287034102853</v>
      </c>
      <c r="P50" s="4">
        <v>294.24635580555662</v>
      </c>
      <c r="Q50" s="4">
        <v>61.249999860922493</v>
      </c>
      <c r="R50" s="4">
        <v>937.97855836022154</v>
      </c>
      <c r="S50" s="3">
        <v>0.29998850159304946</v>
      </c>
      <c r="T50" s="4">
        <v>4.5940046185765597</v>
      </c>
    </row>
    <row r="51" spans="1:20" x14ac:dyDescent="0.3">
      <c r="A51" s="2" t="s">
        <v>102</v>
      </c>
      <c r="B51" s="2" t="s">
        <v>2</v>
      </c>
      <c r="C51" s="2" t="s">
        <v>1</v>
      </c>
      <c r="D51" s="2">
        <v>2034</v>
      </c>
      <c r="E51" s="7">
        <v>45960</v>
      </c>
      <c r="F51" s="2">
        <v>0.63</v>
      </c>
      <c r="G51" s="2">
        <v>5.5E-2</v>
      </c>
      <c r="H51" s="2">
        <v>0.03</v>
      </c>
      <c r="I51" s="2">
        <v>10.98</v>
      </c>
      <c r="J51" s="6">
        <v>0.93379999999999996</v>
      </c>
      <c r="K51" s="6">
        <f>(1-Tabelle2[[#This Row],[Water Content (% of weight)]])*0.6</f>
        <v>3.9720000000000019E-2</v>
      </c>
      <c r="L51" s="6">
        <v>5.071125530322176E-3</v>
      </c>
      <c r="M51" s="43">
        <v>33.299999999999997</v>
      </c>
      <c r="N51" s="43">
        <v>20.77</v>
      </c>
      <c r="O51" s="4">
        <v>52.107142184461871</v>
      </c>
      <c r="P51" s="4">
        <v>787.1169514269161</v>
      </c>
      <c r="Q51" s="4">
        <v>69.638885882165695</v>
      </c>
      <c r="R51" s="4">
        <v>1051.946916649028</v>
      </c>
      <c r="S51" s="3">
        <v>0.45705060437606787</v>
      </c>
      <c r="T51" s="4">
        <v>6.9040876793967918</v>
      </c>
    </row>
    <row r="52" spans="1:20" x14ac:dyDescent="0.3">
      <c r="A52" s="2" t="s">
        <v>103</v>
      </c>
      <c r="B52" s="2" t="s">
        <v>2</v>
      </c>
      <c r="C52" s="2" t="s">
        <v>1</v>
      </c>
      <c r="D52" s="2">
        <v>2034</v>
      </c>
      <c r="E52" s="7">
        <v>45960</v>
      </c>
      <c r="F52" s="2">
        <v>0.70499999999999996</v>
      </c>
      <c r="G52" s="2">
        <v>0.05</v>
      </c>
      <c r="H52" s="2">
        <v>5.5E-2</v>
      </c>
      <c r="I52" s="2">
        <v>15.39</v>
      </c>
      <c r="J52" s="6">
        <v>0.9264</v>
      </c>
      <c r="K52" s="6">
        <f>(1-Tabelle2[[#This Row],[Water Content (% of weight)]])*0.6</f>
        <v>4.4159999999999998E-2</v>
      </c>
      <c r="L52" s="6">
        <v>4.9496058277615097E-3</v>
      </c>
      <c r="M52" s="43">
        <v>33.25</v>
      </c>
      <c r="N52" s="43">
        <v>22.024999999999999</v>
      </c>
      <c r="O52" s="4">
        <v>56.178570491927019</v>
      </c>
      <c r="P52" s="4">
        <v>763.29579472726925</v>
      </c>
      <c r="Q52" s="4">
        <v>87.944445007377197</v>
      </c>
      <c r="R52" s="4">
        <v>1194.8973506437119</v>
      </c>
      <c r="S52" s="3">
        <v>0.46975842085412456</v>
      </c>
      <c r="T52" s="4">
        <v>6.3825872398658232</v>
      </c>
    </row>
    <row r="53" spans="1:20" x14ac:dyDescent="0.3">
      <c r="A53" s="2" t="s">
        <v>104</v>
      </c>
      <c r="B53" s="2" t="s">
        <v>2</v>
      </c>
      <c r="C53" s="2" t="s">
        <v>1</v>
      </c>
      <c r="D53" s="2">
        <v>2034</v>
      </c>
      <c r="E53" s="7">
        <v>45960</v>
      </c>
      <c r="F53" s="2">
        <v>0.76</v>
      </c>
      <c r="G53" s="2">
        <v>8.4999999999999992E-2</v>
      </c>
      <c r="H53" s="2">
        <v>3.5000000000000003E-2</v>
      </c>
      <c r="I53" s="2">
        <v>8.91</v>
      </c>
      <c r="J53" s="6">
        <v>0.93600000000000005</v>
      </c>
      <c r="K53" s="6">
        <f>(1-Tabelle2[[#This Row],[Water Content (% of weight)]])*0.6</f>
        <v>3.8399999999999969E-2</v>
      </c>
      <c r="L53" s="6">
        <v>5.2785923753666279E-3</v>
      </c>
      <c r="M53" s="43">
        <v>34.200000000000003</v>
      </c>
      <c r="N53" s="43">
        <v>22.245000000000001</v>
      </c>
      <c r="O53" s="4">
        <v>47.535710734980448</v>
      </c>
      <c r="P53" s="4">
        <v>742.7454802340701</v>
      </c>
      <c r="Q53" s="4">
        <v>84.250000112586548</v>
      </c>
      <c r="R53" s="4">
        <v>1316.406251759166</v>
      </c>
      <c r="S53" s="3">
        <v>0.43306304546663199</v>
      </c>
      <c r="T53" s="4">
        <v>6.7666100854161302</v>
      </c>
    </row>
    <row r="54" spans="1:20" x14ac:dyDescent="0.3">
      <c r="A54" s="2" t="s">
        <v>105</v>
      </c>
      <c r="B54" s="2" t="s">
        <v>0</v>
      </c>
      <c r="C54" s="2" t="s">
        <v>1</v>
      </c>
      <c r="D54" s="2">
        <v>2012</v>
      </c>
      <c r="E54" s="7">
        <v>45960</v>
      </c>
      <c r="F54" s="2">
        <v>0.76</v>
      </c>
      <c r="G54" s="2">
        <v>7.0000000000000007E-2</v>
      </c>
      <c r="H54" s="2">
        <v>0.05</v>
      </c>
      <c r="I54" s="2">
        <v>11.690000000000001</v>
      </c>
      <c r="J54" s="6">
        <v>0.96079999999999999</v>
      </c>
      <c r="K54" s="6">
        <f>(1-Tabelle2[[#This Row],[Water Content (% of weight)]])*0.6</f>
        <v>2.3520000000000006E-2</v>
      </c>
      <c r="L54" s="6">
        <v>3.7926675094816708E-3</v>
      </c>
      <c r="M54" s="43">
        <v>43.3</v>
      </c>
      <c r="N54" s="43">
        <v>39.004999999999995</v>
      </c>
      <c r="O54" s="4">
        <v>22.749999970197678</v>
      </c>
      <c r="P54" s="4">
        <v>580.35714209687933</v>
      </c>
      <c r="Q54" s="4">
        <v>80.94444655047522</v>
      </c>
      <c r="R54" s="4">
        <v>2064.9093507774282</v>
      </c>
      <c r="S54" s="3">
        <v>0.22302816144143778</v>
      </c>
      <c r="T54" s="4">
        <v>5.6894939143223908</v>
      </c>
    </row>
    <row r="55" spans="1:20" x14ac:dyDescent="0.3">
      <c r="A55" s="2" t="s">
        <v>106</v>
      </c>
      <c r="B55" s="2" t="s">
        <v>0</v>
      </c>
      <c r="C55" s="2" t="s">
        <v>1</v>
      </c>
      <c r="D55" s="2">
        <v>2012</v>
      </c>
      <c r="E55" s="7">
        <v>45960</v>
      </c>
      <c r="F55" s="2">
        <v>0.84</v>
      </c>
      <c r="G55" s="2">
        <v>0.10500000000000001</v>
      </c>
      <c r="H55" s="2">
        <v>0.05</v>
      </c>
      <c r="I55" s="2">
        <v>7.8350000000000009</v>
      </c>
      <c r="J55" s="6">
        <v>0.94820000000000004</v>
      </c>
      <c r="K55" s="6">
        <f>(1-Tabelle2[[#This Row],[Water Content (% of weight)]])*0.6</f>
        <v>3.1079999999999972E-2</v>
      </c>
      <c r="L55" s="6">
        <v>3.8241109694773733E-3</v>
      </c>
      <c r="M55" s="43">
        <v>44.45</v>
      </c>
      <c r="N55" s="43">
        <v>40.835000000000001</v>
      </c>
      <c r="O55" s="4">
        <v>24.357140762465342</v>
      </c>
      <c r="P55" s="4">
        <v>470.21507263446642</v>
      </c>
      <c r="Q55" s="4">
        <v>75.166666169961289</v>
      </c>
      <c r="R55" s="4">
        <v>1451.0939415050454</v>
      </c>
      <c r="S55" s="3">
        <v>0.36624015872050525</v>
      </c>
      <c r="T55" s="4">
        <v>7.0702733343726942</v>
      </c>
    </row>
    <row r="56" spans="1:20" x14ac:dyDescent="0.3">
      <c r="A56" s="2" t="s">
        <v>107</v>
      </c>
      <c r="B56" s="2" t="s">
        <v>0</v>
      </c>
      <c r="C56" s="2" t="s">
        <v>1</v>
      </c>
      <c r="D56" s="2">
        <v>2012</v>
      </c>
      <c r="E56" s="7">
        <v>45960</v>
      </c>
      <c r="F56" s="2">
        <v>0.82000000000000006</v>
      </c>
      <c r="G56" s="2">
        <v>9.5000000000000001E-2</v>
      </c>
      <c r="H56" s="2">
        <v>4.4999999999999998E-2</v>
      </c>
      <c r="I56" s="2">
        <v>8.69</v>
      </c>
      <c r="J56" s="6">
        <v>0.95309999999999995</v>
      </c>
      <c r="K56" s="6">
        <f>(1-Tabelle2[[#This Row],[Water Content (% of weight)]])*0.6</f>
        <v>2.814000000000003E-2</v>
      </c>
      <c r="L56" s="6">
        <v>3.6997990969306152E-3</v>
      </c>
      <c r="M56" s="43">
        <v>40.099999999999994</v>
      </c>
      <c r="N56" s="43">
        <v>31.34</v>
      </c>
      <c r="O56" s="4">
        <v>28.821430202041359</v>
      </c>
      <c r="P56" s="4">
        <v>614.52942861495364</v>
      </c>
      <c r="Q56" s="4">
        <v>60.499999582767487</v>
      </c>
      <c r="R56" s="4">
        <v>1289.9786691421625</v>
      </c>
      <c r="S56" s="3">
        <v>0.3885145394082713</v>
      </c>
      <c r="T56" s="4">
        <v>8.2838920982573736</v>
      </c>
    </row>
    <row r="57" spans="1:20" x14ac:dyDescent="0.3">
      <c r="A57" s="2" t="s">
        <v>108</v>
      </c>
      <c r="B57" s="2" t="s">
        <v>0</v>
      </c>
      <c r="C57" s="2" t="s">
        <v>1</v>
      </c>
      <c r="D57" s="2">
        <v>2012</v>
      </c>
      <c r="E57" s="7">
        <v>45960</v>
      </c>
      <c r="F57" s="2">
        <v>0.73499999999999999</v>
      </c>
      <c r="G57" s="2">
        <v>0.11</v>
      </c>
      <c r="H57" s="2">
        <v>0.03</v>
      </c>
      <c r="I57" s="2">
        <v>6.8</v>
      </c>
      <c r="J57" s="6">
        <v>0.95669999999999999</v>
      </c>
      <c r="K57" s="6">
        <f>(1-Tabelle2[[#This Row],[Water Content (% of weight)]])*0.6</f>
        <v>2.5980000000000003E-2</v>
      </c>
      <c r="L57" s="6">
        <v>3.3000000000001249E-3</v>
      </c>
      <c r="M57" s="43">
        <v>41.349999999999994</v>
      </c>
      <c r="N57" s="43">
        <v>33.81</v>
      </c>
      <c r="O57" s="4">
        <v>16.000000127724242</v>
      </c>
      <c r="P57" s="4">
        <v>369.51501449709559</v>
      </c>
      <c r="Q57" s="4">
        <v>53.166668358776306</v>
      </c>
      <c r="R57" s="4">
        <v>1227.8676295329399</v>
      </c>
      <c r="S57" s="3">
        <v>0.32326227879631819</v>
      </c>
      <c r="T57" s="4">
        <v>7.4656415426401423</v>
      </c>
    </row>
    <row r="58" spans="1:20" x14ac:dyDescent="0.3">
      <c r="A58" s="2" t="s">
        <v>109</v>
      </c>
      <c r="B58" s="2" t="s">
        <v>2</v>
      </c>
      <c r="C58" s="2" t="s">
        <v>1</v>
      </c>
      <c r="D58" s="2">
        <v>2034</v>
      </c>
      <c r="E58" s="7">
        <v>45974</v>
      </c>
      <c r="F58" s="2">
        <v>0.76</v>
      </c>
      <c r="G58" s="2">
        <v>0.12</v>
      </c>
      <c r="H58" s="2">
        <v>0.02</v>
      </c>
      <c r="I58" s="2">
        <v>6.6</v>
      </c>
      <c r="J58" s="6">
        <v>0.92249999999999999</v>
      </c>
      <c r="K58" s="6">
        <f>(1-Tabelle2[[#This Row],[Water Content (% of weight)]])*0.6</f>
        <v>4.6500000000000007E-2</v>
      </c>
      <c r="L58" s="6">
        <v>5.107697180867966E-3</v>
      </c>
      <c r="M58" s="43">
        <v>30.25</v>
      </c>
      <c r="N58" s="43">
        <v>20.433999999999997</v>
      </c>
      <c r="O58" s="4">
        <v>38.555554972754585</v>
      </c>
      <c r="P58" s="4">
        <v>497.49103190651067</v>
      </c>
      <c r="Q58" s="4">
        <v>32.250000637311203</v>
      </c>
      <c r="R58" s="4">
        <v>416.1290404814348</v>
      </c>
      <c r="S58" s="3">
        <v>0.46776252131244556</v>
      </c>
      <c r="T58" s="4">
        <v>6.0356454362896192</v>
      </c>
    </row>
    <row r="59" spans="1:20" x14ac:dyDescent="0.3">
      <c r="A59" s="2" t="s">
        <v>110</v>
      </c>
      <c r="B59" s="2" t="s">
        <v>2</v>
      </c>
      <c r="C59" s="2" t="s">
        <v>1</v>
      </c>
      <c r="D59" s="2">
        <v>2034</v>
      </c>
      <c r="E59" s="7">
        <v>45974</v>
      </c>
      <c r="F59" s="2">
        <v>0.61</v>
      </c>
      <c r="G59" s="2">
        <v>0.10500000000000001</v>
      </c>
      <c r="H59" s="2">
        <v>4.5000000000000005E-2</v>
      </c>
      <c r="I59" s="2">
        <v>5.91</v>
      </c>
      <c r="J59" s="6">
        <v>0.92420000000000002</v>
      </c>
      <c r="K59" s="6">
        <f>(1-Tabelle2[[#This Row],[Water Content (% of weight)]])*0.6</f>
        <v>4.5479999999999986E-2</v>
      </c>
      <c r="L59" s="6">
        <v>4.228245477572415E-3</v>
      </c>
      <c r="M59" s="43">
        <v>31.15</v>
      </c>
      <c r="N59" s="43">
        <v>21.445900000000002</v>
      </c>
      <c r="O59" s="4">
        <v>52.583334273762169</v>
      </c>
      <c r="P59" s="4">
        <v>693.71153395464626</v>
      </c>
      <c r="Q59" s="4">
        <v>54.923074506796318</v>
      </c>
      <c r="R59" s="4">
        <v>724.57881935087516</v>
      </c>
      <c r="S59" s="3">
        <v>0.48728028051066474</v>
      </c>
      <c r="T59" s="4">
        <v>6.4284997428847612</v>
      </c>
    </row>
    <row r="60" spans="1:20" x14ac:dyDescent="0.3">
      <c r="A60" s="2" t="s">
        <v>111</v>
      </c>
      <c r="B60" s="2" t="s">
        <v>2</v>
      </c>
      <c r="C60" s="2" t="s">
        <v>1</v>
      </c>
      <c r="D60" s="2">
        <v>2034</v>
      </c>
      <c r="E60" s="7">
        <v>45974</v>
      </c>
      <c r="F60" s="2">
        <v>0.78</v>
      </c>
      <c r="G60" s="2">
        <v>6.5000000000000002E-2</v>
      </c>
      <c r="H60" s="2">
        <v>5.5E-2</v>
      </c>
      <c r="I60" s="2">
        <v>12.41</v>
      </c>
      <c r="J60" s="6">
        <v>0.92789999999999995</v>
      </c>
      <c r="K60" s="6">
        <f>(1-Tabelle2[[#This Row],[Water Content (% of weight)]])*0.6</f>
        <v>4.3260000000000028E-2</v>
      </c>
      <c r="L60" s="6">
        <v>4.2021851362710203E-3</v>
      </c>
      <c r="M60" s="43">
        <v>31.4</v>
      </c>
      <c r="N60" s="43">
        <v>20.057649999999999</v>
      </c>
      <c r="O60" s="4">
        <v>31.63888712061776</v>
      </c>
      <c r="P60" s="4">
        <v>438.81951623602964</v>
      </c>
      <c r="Q60" s="4">
        <v>78.86538057143872</v>
      </c>
      <c r="R60" s="4">
        <v>1093.8332950268884</v>
      </c>
      <c r="S60" s="3">
        <v>0.42859416740130196</v>
      </c>
      <c r="T60" s="4">
        <v>5.9444406019598013</v>
      </c>
    </row>
    <row r="61" spans="1:20" x14ac:dyDescent="0.3">
      <c r="A61" s="2" t="s">
        <v>112</v>
      </c>
      <c r="B61" s="2" t="s">
        <v>2</v>
      </c>
      <c r="C61" s="2" t="s">
        <v>1</v>
      </c>
      <c r="D61" s="2">
        <v>2034</v>
      </c>
      <c r="E61" s="7">
        <v>45974</v>
      </c>
      <c r="F61" s="2">
        <v>0.8</v>
      </c>
      <c r="G61" s="2">
        <v>7.5000000000000011E-2</v>
      </c>
      <c r="H61" s="2">
        <v>4.4999999999999998E-2</v>
      </c>
      <c r="I61" s="2">
        <v>10.48</v>
      </c>
      <c r="J61" s="6">
        <v>0.91839999999999999</v>
      </c>
      <c r="K61" s="6">
        <f>(1-Tabelle2[[#This Row],[Water Content (% of weight)]])*0.6</f>
        <v>4.8960000000000004E-2</v>
      </c>
      <c r="L61" s="6">
        <v>5.0235354614132453E-3</v>
      </c>
      <c r="M61" s="43">
        <v>29.9</v>
      </c>
      <c r="N61" s="43">
        <v>17.12265</v>
      </c>
      <c r="O61" s="4">
        <v>41.888888852463836</v>
      </c>
      <c r="P61" s="4">
        <v>513.34422613313518</v>
      </c>
      <c r="Q61" s="4">
        <v>83.269229632157547</v>
      </c>
      <c r="R61" s="4">
        <v>1020.4562454921268</v>
      </c>
      <c r="S61" s="3">
        <v>0.42620423608847069</v>
      </c>
      <c r="T61" s="4">
        <v>5.22309112853518</v>
      </c>
    </row>
    <row r="62" spans="1:20" x14ac:dyDescent="0.3">
      <c r="A62" s="2" t="s">
        <v>113</v>
      </c>
      <c r="B62" s="2" t="s">
        <v>0</v>
      </c>
      <c r="C62" s="2" t="s">
        <v>1</v>
      </c>
      <c r="D62" s="2">
        <v>2012</v>
      </c>
      <c r="E62" s="7">
        <v>45974</v>
      </c>
      <c r="F62" s="2">
        <v>0.66500000000000004</v>
      </c>
      <c r="G62" s="2">
        <v>0.1</v>
      </c>
      <c r="H62" s="2">
        <v>5.0000000000000001E-3</v>
      </c>
      <c r="I62" s="2">
        <v>6.87</v>
      </c>
      <c r="J62" s="6">
        <v>0.95509999999999995</v>
      </c>
      <c r="K62" s="6">
        <f>(1-Tabelle2[[#This Row],[Water Content (% of weight)]])*0.6</f>
        <v>2.694000000000003E-2</v>
      </c>
      <c r="L62" s="6">
        <v>3.464295726700861E-3</v>
      </c>
      <c r="M62" s="43">
        <v>42.15</v>
      </c>
      <c r="N62" s="43">
        <v>42.605850000000004</v>
      </c>
      <c r="O62" s="4">
        <v>28.361109736892917</v>
      </c>
      <c r="P62" s="4">
        <v>631.65055093302635</v>
      </c>
      <c r="Q62" s="4">
        <v>110.63461611821101</v>
      </c>
      <c r="R62" s="4">
        <v>2464.0226306951199</v>
      </c>
      <c r="S62" s="3">
        <v>0.50440806882634304</v>
      </c>
      <c r="T62" s="4">
        <v>11.23403271328157</v>
      </c>
    </row>
    <row r="63" spans="1:20" x14ac:dyDescent="0.3">
      <c r="A63" s="2" t="s">
        <v>114</v>
      </c>
      <c r="B63" s="2" t="s">
        <v>0</v>
      </c>
      <c r="C63" s="2" t="s">
        <v>1</v>
      </c>
      <c r="D63" s="2">
        <v>2012</v>
      </c>
      <c r="E63" s="7">
        <v>45974</v>
      </c>
      <c r="F63" s="2">
        <v>0.82499999999999996</v>
      </c>
      <c r="G63" s="2">
        <v>7.5000000000000011E-2</v>
      </c>
      <c r="H63" s="2">
        <v>2.5000000000000001E-2</v>
      </c>
      <c r="I63" s="2">
        <v>10.824999999999999</v>
      </c>
      <c r="J63" s="6">
        <v>0.95220000000000005</v>
      </c>
      <c r="K63" s="6">
        <f>(1-Tabelle2[[#This Row],[Water Content (% of weight)]])*0.6</f>
        <v>2.8679999999999969E-2</v>
      </c>
      <c r="L63" s="6">
        <v>3.8948784356235659E-3</v>
      </c>
      <c r="M63" s="43">
        <v>40.6</v>
      </c>
      <c r="N63" s="43">
        <v>39.038249999999998</v>
      </c>
      <c r="O63" s="4">
        <v>43.500000331136917</v>
      </c>
      <c r="P63" s="4">
        <v>910.04184793173556</v>
      </c>
      <c r="Q63" s="4">
        <v>100.34614949042981</v>
      </c>
      <c r="R63" s="4">
        <v>2099.2918303437218</v>
      </c>
      <c r="S63" s="3">
        <v>0.39048806234099709</v>
      </c>
      <c r="T63" s="4">
        <v>8.1692063251254705</v>
      </c>
    </row>
    <row r="64" spans="1:20" x14ac:dyDescent="0.3">
      <c r="A64" s="2" t="s">
        <v>115</v>
      </c>
      <c r="B64" s="2" t="s">
        <v>0</v>
      </c>
      <c r="C64" s="2" t="s">
        <v>1</v>
      </c>
      <c r="D64" s="2">
        <v>2012</v>
      </c>
      <c r="E64" s="7">
        <v>45974</v>
      </c>
      <c r="F64" s="2">
        <v>0.66</v>
      </c>
      <c r="G64" s="2">
        <v>6.5000000000000002E-2</v>
      </c>
      <c r="H64" s="2">
        <v>2.5000000000000001E-2</v>
      </c>
      <c r="I64" s="2">
        <v>10.895</v>
      </c>
      <c r="J64" s="6">
        <v>0.95269999999999999</v>
      </c>
      <c r="K64" s="6">
        <f>(1-Tabelle2[[#This Row],[Water Content (% of weight)]])*0.6</f>
        <v>2.8380000000000002E-2</v>
      </c>
      <c r="L64" s="6">
        <v>3.7264357737839468E-3</v>
      </c>
      <c r="M64" s="43">
        <v>42.05</v>
      </c>
      <c r="N64" s="43">
        <v>41.655549999999998</v>
      </c>
      <c r="O64" s="4">
        <v>32.555552747514511</v>
      </c>
      <c r="P64" s="4">
        <v>688.2780707719769</v>
      </c>
      <c r="Q64" s="4">
        <v>33.403846263885498</v>
      </c>
      <c r="R64" s="4">
        <v>706.21239458531693</v>
      </c>
      <c r="S64" s="3">
        <v>0.32582720008897503</v>
      </c>
      <c r="T64" s="4">
        <v>6.8885243147774835</v>
      </c>
    </row>
    <row r="65" spans="1:20" x14ac:dyDescent="0.3">
      <c r="A65" s="2" t="s">
        <v>116</v>
      </c>
      <c r="B65" s="2" t="s">
        <v>0</v>
      </c>
      <c r="C65" s="2" t="s">
        <v>1</v>
      </c>
      <c r="D65" s="2">
        <v>2012</v>
      </c>
      <c r="E65" s="7">
        <v>45974</v>
      </c>
      <c r="F65" s="2">
        <v>0.58000000000000007</v>
      </c>
      <c r="G65" s="2">
        <v>6.5000000000000002E-2</v>
      </c>
      <c r="H65" s="2">
        <v>6.0000000000000005E-2</v>
      </c>
      <c r="I65" s="2">
        <v>13.105</v>
      </c>
      <c r="J65" s="6">
        <v>0.9587</v>
      </c>
      <c r="K65" s="6">
        <f>(1-Tabelle2[[#This Row],[Water Content (% of weight)]])*0.6</f>
        <v>2.478E-2</v>
      </c>
      <c r="L65" s="6">
        <v>3.5266691904596282E-3</v>
      </c>
      <c r="M65" s="43">
        <v>36.75</v>
      </c>
      <c r="N65" s="43">
        <v>41.5321</v>
      </c>
      <c r="O65" s="4">
        <v>17.33333361811108</v>
      </c>
      <c r="P65" s="4">
        <v>419.69330794457818</v>
      </c>
      <c r="Q65" s="4">
        <v>36.788461630160995</v>
      </c>
      <c r="R65" s="4">
        <v>890.7617828126148</v>
      </c>
      <c r="S65" s="3">
        <v>0.37256361706447183</v>
      </c>
      <c r="T65" s="4">
        <v>9.0209108248056129</v>
      </c>
    </row>
    <row r="66" spans="1:20" x14ac:dyDescent="0.3">
      <c r="A66" s="2" t="s">
        <v>117</v>
      </c>
      <c r="B66" s="2" t="s">
        <v>2</v>
      </c>
      <c r="C66" s="2" t="s">
        <v>1</v>
      </c>
      <c r="D66" s="2">
        <v>2034</v>
      </c>
      <c r="E66" s="7">
        <v>45988</v>
      </c>
      <c r="J66" s="6">
        <v>0.92149999999999999</v>
      </c>
      <c r="K66" s="6">
        <f>(1-Tabelle2[[#This Row],[Water Content (% of weight)]])*0.6</f>
        <v>4.710000000000001E-2</v>
      </c>
      <c r="L66" s="6">
        <v>5.2803896907629173E-3</v>
      </c>
      <c r="M66" s="43">
        <v>29.174999999999997</v>
      </c>
      <c r="N66" s="43">
        <v>13.09</v>
      </c>
      <c r="O66" s="4">
        <v>26.648352257498015</v>
      </c>
      <c r="P66" s="4">
        <v>339.46945550952881</v>
      </c>
      <c r="Q66" s="4">
        <v>51.756849066035421</v>
      </c>
      <c r="R66" s="4">
        <v>659.32291803866769</v>
      </c>
      <c r="S66" s="3">
        <v>0.53777875295959565</v>
      </c>
      <c r="T66" s="4">
        <v>6.8506847510776501</v>
      </c>
    </row>
    <row r="67" spans="1:20" x14ac:dyDescent="0.3">
      <c r="A67" s="2" t="s">
        <v>118</v>
      </c>
      <c r="B67" s="2" t="s">
        <v>2</v>
      </c>
      <c r="C67" s="2" t="s">
        <v>1</v>
      </c>
      <c r="D67" s="2">
        <v>2034</v>
      </c>
      <c r="E67" s="7">
        <v>45988</v>
      </c>
      <c r="J67" s="6">
        <v>0.91059999999999997</v>
      </c>
      <c r="K67" s="6">
        <f>(1-Tabelle2[[#This Row],[Water Content (% of weight)]])*0.6</f>
        <v>5.3640000000000021E-2</v>
      </c>
      <c r="L67" s="6">
        <v>3.9887236084448809E-3</v>
      </c>
      <c r="M67" s="43">
        <v>30.875</v>
      </c>
      <c r="N67" s="43">
        <v>15.202499999999999</v>
      </c>
      <c r="O67" s="4">
        <v>35.274726581442479</v>
      </c>
      <c r="P67" s="4">
        <v>394.57188569846159</v>
      </c>
      <c r="Q67" s="4">
        <v>52.886986301369873</v>
      </c>
      <c r="R67" s="4">
        <v>591.57702797952857</v>
      </c>
      <c r="S67" s="3">
        <v>0.59777550132730151</v>
      </c>
      <c r="T67" s="4">
        <v>6.6865268604843546</v>
      </c>
    </row>
    <row r="68" spans="1:20" x14ac:dyDescent="0.3">
      <c r="A68" s="2" t="s">
        <v>119</v>
      </c>
      <c r="B68" s="2" t="s">
        <v>2</v>
      </c>
      <c r="C68" s="2" t="s">
        <v>1</v>
      </c>
      <c r="D68" s="2">
        <v>2034</v>
      </c>
      <c r="E68" s="7">
        <v>45988</v>
      </c>
      <c r="J68" s="6">
        <v>0.92120000000000002</v>
      </c>
      <c r="K68" s="6">
        <f>(1-Tabelle2[[#This Row],[Water Content (% of weight)]])*0.6</f>
        <v>4.7279999999999989E-2</v>
      </c>
      <c r="L68" s="6">
        <v>6.3795534312598642E-3</v>
      </c>
      <c r="M68" s="43">
        <v>29.675000000000001</v>
      </c>
      <c r="N68" s="43">
        <v>15.324999999999999</v>
      </c>
      <c r="O68" s="4">
        <v>47.390109549511912</v>
      </c>
      <c r="P68" s="4">
        <v>601.39732930852699</v>
      </c>
      <c r="Q68" s="4">
        <v>58.154109342457467</v>
      </c>
      <c r="R68" s="4">
        <v>737.99631145250612</v>
      </c>
      <c r="S68" s="3">
        <v>0.64434822295033556</v>
      </c>
      <c r="T68" s="4">
        <v>8.1770079054611138</v>
      </c>
    </row>
    <row r="69" spans="1:20" x14ac:dyDescent="0.3">
      <c r="A69" s="2" t="s">
        <v>120</v>
      </c>
      <c r="B69" s="2" t="s">
        <v>2</v>
      </c>
      <c r="C69" s="2" t="s">
        <v>1</v>
      </c>
      <c r="D69" s="2">
        <v>2034</v>
      </c>
      <c r="E69" s="7">
        <v>45988</v>
      </c>
      <c r="J69" s="6">
        <v>0.91310000000000002</v>
      </c>
      <c r="K69" s="6">
        <f>(1-Tabelle2[[#This Row],[Water Content (% of weight)]])*0.6</f>
        <v>5.2139999999999985E-2</v>
      </c>
      <c r="L69" s="6">
        <v>4.7776111944023165E-3</v>
      </c>
      <c r="M69" s="43">
        <v>31.737499999999997</v>
      </c>
      <c r="N69" s="43">
        <v>17.677500000000002</v>
      </c>
      <c r="O69" s="4">
        <v>38.104397733132913</v>
      </c>
      <c r="P69" s="4">
        <v>438.4855895642454</v>
      </c>
      <c r="Q69" s="4">
        <v>65.688356285225865</v>
      </c>
      <c r="R69" s="4">
        <v>755.90743711422192</v>
      </c>
      <c r="S69" s="3">
        <v>0.55394223870123827</v>
      </c>
      <c r="T69" s="4">
        <v>6.3744791565159771</v>
      </c>
    </row>
    <row r="70" spans="1:20" x14ac:dyDescent="0.3">
      <c r="A70" s="2" t="s">
        <v>121</v>
      </c>
      <c r="B70" s="2" t="s">
        <v>0</v>
      </c>
      <c r="C70" s="2" t="s">
        <v>1</v>
      </c>
      <c r="D70" s="2">
        <v>2012</v>
      </c>
      <c r="E70" s="7">
        <v>45988</v>
      </c>
      <c r="J70" s="6">
        <v>0.94230000000000003</v>
      </c>
      <c r="K70" s="6">
        <f>(1-Tabelle2[[#This Row],[Water Content (% of weight)]])*0.6</f>
        <v>3.4619999999999984E-2</v>
      </c>
      <c r="L70" s="6">
        <v>4.8085093620975532E-3</v>
      </c>
      <c r="M70" s="43">
        <v>43.424999999999997</v>
      </c>
      <c r="N70" s="43">
        <v>38.49</v>
      </c>
      <c r="O70" s="4">
        <v>26.291209495329593</v>
      </c>
      <c r="P70" s="4">
        <v>455.65354411316474</v>
      </c>
      <c r="Q70" s="4">
        <v>79.335616199937334</v>
      </c>
      <c r="R70" s="4">
        <v>1374.9673518186719</v>
      </c>
      <c r="S70" s="3">
        <v>0.54586049583041707</v>
      </c>
      <c r="T70" s="4">
        <v>9.4603205516536804</v>
      </c>
    </row>
    <row r="71" spans="1:20" x14ac:dyDescent="0.3">
      <c r="A71" s="2" t="s">
        <v>122</v>
      </c>
      <c r="B71" s="2" t="s">
        <v>0</v>
      </c>
      <c r="C71" s="2" t="s">
        <v>1</v>
      </c>
      <c r="D71" s="2">
        <v>2012</v>
      </c>
      <c r="E71" s="7">
        <v>45988</v>
      </c>
      <c r="J71" s="6">
        <v>0.95220000000000005</v>
      </c>
      <c r="K71" s="6">
        <f>(1-Tabelle2[[#This Row],[Water Content (% of weight)]])*0.6</f>
        <v>2.8679999999999969E-2</v>
      </c>
      <c r="L71" s="6">
        <v>5.2973513243375582E-3</v>
      </c>
      <c r="M71" s="43">
        <v>42.95</v>
      </c>
      <c r="N71" s="43">
        <v>39.844999999999999</v>
      </c>
      <c r="O71" s="4">
        <v>22.829669749998782</v>
      </c>
      <c r="P71" s="4">
        <v>477.60815376566535</v>
      </c>
      <c r="Q71" s="4">
        <v>77.958904041002754</v>
      </c>
      <c r="R71" s="4">
        <v>1630.9394150837411</v>
      </c>
      <c r="S71" s="3">
        <v>0.3906635262660344</v>
      </c>
      <c r="T71" s="4">
        <v>8.1728771185362916</v>
      </c>
    </row>
    <row r="72" spans="1:20" x14ac:dyDescent="0.3">
      <c r="A72" s="2" t="s">
        <v>123</v>
      </c>
      <c r="B72" s="2" t="s">
        <v>0</v>
      </c>
      <c r="C72" s="2" t="s">
        <v>1</v>
      </c>
      <c r="D72" s="2">
        <v>2012</v>
      </c>
      <c r="E72" s="7">
        <v>45988</v>
      </c>
      <c r="J72" s="6">
        <v>0.9496</v>
      </c>
      <c r="K72" s="6">
        <f>(1-Tabelle2[[#This Row],[Water Content (% of weight)]])*0.6</f>
        <v>3.024E-2</v>
      </c>
      <c r="L72" s="6">
        <v>5.3955756279845469E-3</v>
      </c>
      <c r="M72" s="43">
        <v>43.125</v>
      </c>
      <c r="N72" s="43">
        <v>37.454999999999998</v>
      </c>
      <c r="O72" s="4">
        <v>23.873625043984298</v>
      </c>
      <c r="P72" s="4">
        <v>473.68303658699006</v>
      </c>
      <c r="Q72" s="4">
        <v>51.147260422575954</v>
      </c>
      <c r="R72" s="4">
        <v>1014.8265956860308</v>
      </c>
      <c r="S72" s="3">
        <v>0.48517890312489953</v>
      </c>
      <c r="T72" s="4">
        <v>9.6265655381924518</v>
      </c>
    </row>
    <row r="73" spans="1:20" x14ac:dyDescent="0.3">
      <c r="A73" s="2" t="s">
        <v>124</v>
      </c>
      <c r="B73" s="2" t="s">
        <v>0</v>
      </c>
      <c r="C73" s="2" t="s">
        <v>1</v>
      </c>
      <c r="D73" s="2">
        <v>2012</v>
      </c>
      <c r="E73" s="7">
        <v>45988</v>
      </c>
      <c r="J73" s="6">
        <v>0.94620000000000004</v>
      </c>
      <c r="K73" s="6">
        <f>(1-Tabelle2[[#This Row],[Water Content (% of weight)]])*0.6</f>
        <v>3.2279999999999975E-2</v>
      </c>
      <c r="L73" s="6">
        <v>4.1799164016721726E-3</v>
      </c>
      <c r="M73" s="43">
        <v>43.3</v>
      </c>
      <c r="N73" s="43">
        <v>38.629999999999995</v>
      </c>
      <c r="O73" s="4">
        <v>27.967033382955485</v>
      </c>
      <c r="P73" s="4">
        <v>519.83333425567855</v>
      </c>
      <c r="Q73" s="4">
        <v>63.2123288201959</v>
      </c>
      <c r="R73" s="4">
        <v>1174.9503498177685</v>
      </c>
      <c r="S73" s="3">
        <v>0.35559693249432878</v>
      </c>
      <c r="T73" s="4">
        <v>6.6096084106752615</v>
      </c>
    </row>
    <row r="74" spans="1:20" x14ac:dyDescent="0.3">
      <c r="A74" s="2" t="s">
        <v>128</v>
      </c>
      <c r="B74" s="2" t="s">
        <v>2</v>
      </c>
      <c r="C74" s="2" t="s">
        <v>1</v>
      </c>
      <c r="D74" s="2">
        <v>2034</v>
      </c>
      <c r="E74" s="7">
        <v>46072</v>
      </c>
      <c r="F74" s="3">
        <v>0.83333333333333337</v>
      </c>
      <c r="G74" s="3">
        <v>6.6666666666666666E-2</v>
      </c>
      <c r="H74" s="3">
        <v>0.04</v>
      </c>
      <c r="I74" s="3">
        <v>12.4</v>
      </c>
      <c r="J74" s="6">
        <v>0.91420000000000001</v>
      </c>
      <c r="K74" s="6">
        <f>(1-Tabelle2[[#This Row],[Water Content (% of weight)]])*0.6</f>
        <v>5.1479999999999991E-2</v>
      </c>
      <c r="L74" s="6">
        <v>4.4191185021521312E-3</v>
      </c>
      <c r="M74" s="43">
        <v>30.6</v>
      </c>
      <c r="N74" s="43">
        <v>14.780000000000001</v>
      </c>
      <c r="O74" s="4">
        <v>50.232561535613485</v>
      </c>
      <c r="P74" s="4">
        <v>551.91903836282427</v>
      </c>
      <c r="Q74" s="4">
        <v>91.656250454485402</v>
      </c>
      <c r="R74" s="4">
        <v>1068.2546673016948</v>
      </c>
      <c r="S74" s="3">
        <v>0.51455044979101805</v>
      </c>
      <c r="T74" s="4">
        <v>5.9970914894058058</v>
      </c>
    </row>
    <row r="75" spans="1:20" x14ac:dyDescent="0.3">
      <c r="A75" s="2" t="s">
        <v>129</v>
      </c>
      <c r="B75" s="2" t="s">
        <v>2</v>
      </c>
      <c r="C75" s="2" t="s">
        <v>1</v>
      </c>
      <c r="D75" s="2">
        <v>2034</v>
      </c>
      <c r="E75" s="7">
        <v>46072</v>
      </c>
      <c r="F75" s="3">
        <v>0.86333333333333329</v>
      </c>
      <c r="G75" s="3">
        <v>6.3333333333333339E-2</v>
      </c>
      <c r="H75" s="3">
        <v>0.04</v>
      </c>
      <c r="I75" s="3">
        <v>14.4</v>
      </c>
      <c r="J75" s="6">
        <v>0.92020000000000002</v>
      </c>
      <c r="K75" s="6">
        <f>(1-Tabelle2[[#This Row],[Water Content (% of weight)]])*0.6</f>
        <v>4.7879999999999985E-2</v>
      </c>
      <c r="L75" s="6">
        <v>6.1502659574462545E-3</v>
      </c>
      <c r="M75" s="43">
        <v>32.575000000000003</v>
      </c>
      <c r="N75" s="43">
        <v>17.72</v>
      </c>
      <c r="O75" s="4">
        <v>31.07558105574098</v>
      </c>
      <c r="P75" s="4">
        <v>445.1535437611106</v>
      </c>
      <c r="Q75" s="4">
        <v>86.343753658235059</v>
      </c>
      <c r="R75" s="4">
        <v>1082.0019255417931</v>
      </c>
      <c r="S75" s="3">
        <v>0.50645437338400134</v>
      </c>
      <c r="T75" s="4">
        <v>6.3465460323809708</v>
      </c>
    </row>
    <row r="76" spans="1:20" x14ac:dyDescent="0.3">
      <c r="A76" s="2" t="s">
        <v>130</v>
      </c>
      <c r="B76" s="2" t="s">
        <v>2</v>
      </c>
      <c r="C76" s="2" t="s">
        <v>1</v>
      </c>
      <c r="D76" s="2">
        <v>2034</v>
      </c>
      <c r="E76" s="7">
        <v>46072</v>
      </c>
      <c r="F76" s="3">
        <v>0.89666666666666661</v>
      </c>
      <c r="G76" s="3">
        <v>8.3333333333333329E-2</v>
      </c>
      <c r="H76" s="3">
        <v>0.03</v>
      </c>
      <c r="I76" s="3">
        <v>11.56</v>
      </c>
      <c r="J76" s="6">
        <v>0.92449999999999999</v>
      </c>
      <c r="K76" s="6">
        <f>(1-Tabelle2[[#This Row],[Water Content (% of weight)]])*0.6</f>
        <v>4.5300000000000007E-2</v>
      </c>
      <c r="L76" s="6">
        <v>5.8479532163740206E-3</v>
      </c>
      <c r="M76" s="43">
        <v>30.524999999999999</v>
      </c>
      <c r="N76" s="43">
        <v>14.555</v>
      </c>
      <c r="O76" s="4">
        <v>41.56976714383724</v>
      </c>
      <c r="P76" s="4">
        <v>434.31385490976191</v>
      </c>
      <c r="Q76" s="4">
        <v>83.812502719461904</v>
      </c>
      <c r="R76" s="4">
        <v>1110.0993737677072</v>
      </c>
      <c r="S76" s="3">
        <v>0.50555479444483964</v>
      </c>
      <c r="T76" s="4">
        <v>6.6960899926468818</v>
      </c>
    </row>
    <row r="77" spans="1:20" x14ac:dyDescent="0.3">
      <c r="A77" s="2" t="s">
        <v>131</v>
      </c>
      <c r="B77" s="2" t="s">
        <v>2</v>
      </c>
      <c r="C77" s="2" t="s">
        <v>1</v>
      </c>
      <c r="D77" s="2">
        <v>2034</v>
      </c>
      <c r="E77" s="7">
        <v>46072</v>
      </c>
      <c r="F77" s="3">
        <v>0.65666666666666673</v>
      </c>
      <c r="G77" s="3">
        <v>0.06</v>
      </c>
      <c r="H77" s="3">
        <v>2.6666666666666668E-2</v>
      </c>
      <c r="I77" s="3">
        <v>10.953333333333333</v>
      </c>
      <c r="J77" s="6">
        <v>0.92149999999999999</v>
      </c>
      <c r="K77" s="6">
        <f>(1-Tabelle2[[#This Row],[Water Content (% of weight)]])*0.6</f>
        <v>4.710000000000001E-2</v>
      </c>
      <c r="L77" s="6">
        <v>6.2990837696333575E-3</v>
      </c>
      <c r="M77" s="43">
        <v>30.55</v>
      </c>
      <c r="N77" s="43">
        <v>14.574999999999999</v>
      </c>
      <c r="O77" s="4">
        <v>43.895348920378581</v>
      </c>
      <c r="P77" s="4">
        <v>282.18042027630673</v>
      </c>
      <c r="Q77" s="4">
        <v>87.343751959502683</v>
      </c>
      <c r="R77" s="4">
        <v>1112.6592606306072</v>
      </c>
      <c r="S77" s="3">
        <v>0.51027751685271938</v>
      </c>
      <c r="T77" s="4">
        <v>6.5003505331556601</v>
      </c>
    </row>
    <row r="78" spans="1:20" x14ac:dyDescent="0.3">
      <c r="A78" s="2" t="s">
        <v>132</v>
      </c>
      <c r="B78" s="2" t="s">
        <v>0</v>
      </c>
      <c r="C78" s="2" t="s">
        <v>1</v>
      </c>
      <c r="D78" s="2">
        <v>2012</v>
      </c>
      <c r="E78" s="7">
        <v>46072</v>
      </c>
      <c r="F78" s="3">
        <v>1.1666666666666667</v>
      </c>
      <c r="G78" s="3">
        <v>0.11</v>
      </c>
      <c r="H78" s="3">
        <v>2.6666666666666668E-2</v>
      </c>
      <c r="I78" s="3">
        <v>11.133333333333333</v>
      </c>
      <c r="J78" s="6">
        <v>0.93640000000000001</v>
      </c>
      <c r="K78" s="6">
        <f>(1-Tabelle2[[#This Row],[Water Content (% of weight)]])*0.6</f>
        <v>3.8159999999999993E-2</v>
      </c>
      <c r="L78" s="6">
        <v>3.8909713168176672E-3</v>
      </c>
      <c r="M78" s="43">
        <v>43.575000000000003</v>
      </c>
      <c r="N78" s="43">
        <v>39.325000000000003</v>
      </c>
      <c r="O78" s="4">
        <v>47.354653491530314</v>
      </c>
      <c r="P78" s="4">
        <v>789.82014993102973</v>
      </c>
      <c r="Q78" s="4">
        <v>96.968751907348619</v>
      </c>
      <c r="R78" s="4">
        <v>1524.6659104929031</v>
      </c>
      <c r="S78" s="3">
        <v>0.58460397002496778</v>
      </c>
      <c r="T78" s="4">
        <v>9.1918863211472939</v>
      </c>
    </row>
    <row r="79" spans="1:20" x14ac:dyDescent="0.3">
      <c r="A79" s="2" t="s">
        <v>133</v>
      </c>
      <c r="B79" s="2" t="s">
        <v>0</v>
      </c>
      <c r="C79" s="2" t="s">
        <v>1</v>
      </c>
      <c r="D79" s="2">
        <v>2012</v>
      </c>
      <c r="E79" s="7">
        <v>46072</v>
      </c>
      <c r="F79" s="3">
        <v>1.3666666666666665</v>
      </c>
      <c r="G79" s="3">
        <v>0.12</v>
      </c>
      <c r="H79" s="3">
        <v>0.03</v>
      </c>
      <c r="I79" s="3">
        <v>12.373333333333335</v>
      </c>
      <c r="J79" s="6">
        <v>0.95120000000000005</v>
      </c>
      <c r="K79" s="6">
        <f>(1-Tabelle2[[#This Row],[Water Content (% of weight)]])*0.6</f>
        <v>2.9279999999999973E-2</v>
      </c>
      <c r="L79" s="6">
        <v>3.4404120630673329E-3</v>
      </c>
      <c r="M79" s="43">
        <v>44.325000000000003</v>
      </c>
      <c r="N79" s="43">
        <v>36.17</v>
      </c>
      <c r="O79" s="4">
        <v>35.523252792136617</v>
      </c>
      <c r="P79" s="4">
        <v>636.79469376518455</v>
      </c>
      <c r="Q79" s="4">
        <v>63.343750819563866</v>
      </c>
      <c r="R79" s="4">
        <v>1298.0276807287689</v>
      </c>
      <c r="S79" s="3">
        <v>0.42819234613131957</v>
      </c>
      <c r="T79" s="4">
        <v>8.7744333223631141</v>
      </c>
    </row>
    <row r="80" spans="1:20" x14ac:dyDescent="0.3">
      <c r="A80" s="2" t="s">
        <v>134</v>
      </c>
      <c r="B80" s="2" t="s">
        <v>0</v>
      </c>
      <c r="C80" s="2" t="s">
        <v>1</v>
      </c>
      <c r="D80" s="2">
        <v>2012</v>
      </c>
      <c r="E80" s="7">
        <v>46072</v>
      </c>
      <c r="F80" s="3">
        <v>0.67333333333333334</v>
      </c>
      <c r="G80" s="3">
        <v>0.19333333333333336</v>
      </c>
      <c r="H80" s="3">
        <v>2.3333333333333334E-2</v>
      </c>
      <c r="I80" s="3">
        <v>3.58</v>
      </c>
      <c r="J80" s="6">
        <v>0.95140000000000002</v>
      </c>
      <c r="K80" s="6">
        <f>(1-Tabelle2[[#This Row],[Water Content (% of weight)]])*0.6</f>
        <v>2.9159999999999985E-2</v>
      </c>
      <c r="L80" s="6">
        <v>3.5466645413248484E-3</v>
      </c>
      <c r="M80" s="43">
        <v>41.1</v>
      </c>
      <c r="N80" s="43">
        <v>32.9</v>
      </c>
      <c r="O80" s="4">
        <v>32.790696045687028</v>
      </c>
      <c r="P80" s="4">
        <v>855.34500295961436</v>
      </c>
      <c r="Q80" s="4">
        <v>79.687502741813645</v>
      </c>
      <c r="R80" s="4">
        <v>1639.66055024308</v>
      </c>
      <c r="S80" s="3">
        <v>0.45427973323069315</v>
      </c>
      <c r="T80" s="4">
        <v>9.3473196138002752</v>
      </c>
    </row>
    <row r="81" spans="1:20" x14ac:dyDescent="0.3">
      <c r="A81" s="2" t="s">
        <v>135</v>
      </c>
      <c r="B81" s="2" t="s">
        <v>0</v>
      </c>
      <c r="C81" s="2" t="s">
        <v>1</v>
      </c>
      <c r="D81" s="2">
        <v>2012</v>
      </c>
      <c r="E81" s="7">
        <v>46072</v>
      </c>
      <c r="F81" s="3">
        <v>1.3499999999999999</v>
      </c>
      <c r="G81" s="3">
        <v>0.10999999999999999</v>
      </c>
      <c r="H81" s="3">
        <v>3.6666666666666674E-2</v>
      </c>
      <c r="I81" s="3">
        <v>12.426666666666668</v>
      </c>
      <c r="J81" s="6">
        <v>0.94510000000000005</v>
      </c>
      <c r="K81" s="6">
        <f>(1-Tabelle2[[#This Row],[Water Content (% of weight)]])*0.6</f>
        <v>3.2939999999999969E-2</v>
      </c>
      <c r="L81" s="6">
        <v>2.6301946344040039E-3</v>
      </c>
      <c r="M81" s="43">
        <v>41.375</v>
      </c>
      <c r="N81" s="43">
        <v>33.445</v>
      </c>
      <c r="O81" s="4">
        <v>22.151162991690082</v>
      </c>
      <c r="P81" s="4">
        <v>799.55098215625901</v>
      </c>
      <c r="Q81" s="4">
        <v>63.156249973922968</v>
      </c>
      <c r="R81" s="4">
        <v>1150.3870669202738</v>
      </c>
      <c r="S81" s="3">
        <v>0.38535061964797612</v>
      </c>
      <c r="T81" s="4">
        <v>7.0191369699084971</v>
      </c>
    </row>
    <row r="82" spans="1:20" x14ac:dyDescent="0.3">
      <c r="A82" s="2" t="s">
        <v>149</v>
      </c>
      <c r="B82" s="2" t="s">
        <v>2</v>
      </c>
      <c r="C82" s="2" t="s">
        <v>1</v>
      </c>
      <c r="D82" s="2">
        <v>2034</v>
      </c>
      <c r="E82" s="7">
        <v>46086</v>
      </c>
      <c r="F82" s="3">
        <v>0.95000000000000007</v>
      </c>
      <c r="G82" s="3">
        <v>0.11333333333333333</v>
      </c>
      <c r="H82" s="3">
        <v>3.6666666666666667E-2</v>
      </c>
      <c r="I82" s="3">
        <v>8.5200000000000014</v>
      </c>
      <c r="J82" s="6">
        <v>0.91339999999999999</v>
      </c>
      <c r="K82" s="6">
        <f>(1-Tabelle2[[#This Row],[Water Content (% of weight)]])*0.6</f>
        <v>5.1960000000000006E-2</v>
      </c>
      <c r="L82" s="6">
        <v>7.5216471808788469E-3</v>
      </c>
      <c r="M82" s="43">
        <v>33.625</v>
      </c>
      <c r="N82" s="43">
        <v>18.004999999999999</v>
      </c>
      <c r="O82" s="4">
        <v>44.03061188605367</v>
      </c>
      <c r="P82" s="4">
        <v>1206.3181338644849</v>
      </c>
      <c r="Q82" s="4">
        <v>67.750000465661273</v>
      </c>
      <c r="R82" s="4">
        <v>1856.1643963194881</v>
      </c>
      <c r="S82" s="3">
        <v>0.36866998843245635</v>
      </c>
      <c r="T82" s="4">
        <v>10.100547628286481</v>
      </c>
    </row>
    <row r="83" spans="1:20" x14ac:dyDescent="0.3">
      <c r="A83" s="2" t="s">
        <v>150</v>
      </c>
      <c r="B83" s="2" t="s">
        <v>2</v>
      </c>
      <c r="C83" s="2" t="s">
        <v>1</v>
      </c>
      <c r="D83" s="2">
        <v>2034</v>
      </c>
      <c r="E83" s="7">
        <v>46086</v>
      </c>
      <c r="F83" s="3">
        <v>0.75666666666666649</v>
      </c>
      <c r="G83" s="3">
        <v>5.6666666666666664E-2</v>
      </c>
      <c r="H83" s="3">
        <v>3.6666666666666667E-2</v>
      </c>
      <c r="I83" s="3">
        <v>13.280000000000001</v>
      </c>
      <c r="J83" s="6">
        <v>0.9163</v>
      </c>
      <c r="K83" s="6">
        <f>(1-Tabelle2[[#This Row],[Water Content (% of weight)]])*0.6</f>
        <v>5.0219999999999994E-2</v>
      </c>
      <c r="L83" s="6">
        <v>7.2138818483133233E-3</v>
      </c>
      <c r="M83" s="43">
        <v>30.65</v>
      </c>
      <c r="N83" s="43">
        <v>15.885</v>
      </c>
      <c r="O83" s="4">
        <v>66.734693914043675</v>
      </c>
      <c r="P83" s="4">
        <v>1332.0298186435855</v>
      </c>
      <c r="Q83" s="4">
        <v>59.437499452382312</v>
      </c>
      <c r="R83" s="4">
        <v>1186.3772345784885</v>
      </c>
      <c r="S83" s="3">
        <v>0.34272988611747346</v>
      </c>
      <c r="T83" s="4">
        <v>6.8409158905683283</v>
      </c>
    </row>
    <row r="84" spans="1:20" x14ac:dyDescent="0.3">
      <c r="A84" s="2" t="s">
        <v>151</v>
      </c>
      <c r="B84" s="2" t="s">
        <v>2</v>
      </c>
      <c r="C84" s="2" t="s">
        <v>1</v>
      </c>
      <c r="D84" s="2">
        <v>2034</v>
      </c>
      <c r="E84" s="7">
        <v>46086</v>
      </c>
      <c r="F84" s="3">
        <v>0.86333333333333329</v>
      </c>
      <c r="G84" s="3">
        <v>9.3333333333333338E-2</v>
      </c>
      <c r="H84" s="3">
        <v>3.3333333333333333E-2</v>
      </c>
      <c r="I84" s="3">
        <v>9.49</v>
      </c>
      <c r="J84" s="6">
        <v>0.9073</v>
      </c>
      <c r="K84" s="6">
        <f>(1-Tabelle2[[#This Row],[Water Content (% of weight)]])*0.6</f>
        <v>5.5620000000000003E-2</v>
      </c>
      <c r="L84" s="6">
        <v>7.1105622721928247E-3</v>
      </c>
      <c r="M84" s="43">
        <v>31.725000000000001</v>
      </c>
      <c r="N84" s="43">
        <v>16.2</v>
      </c>
      <c r="O84" s="4">
        <v>46.326531104895537</v>
      </c>
      <c r="P84" s="4">
        <v>953.22080462748067</v>
      </c>
      <c r="Q84" s="4">
        <v>67.906250782310948</v>
      </c>
      <c r="R84" s="4">
        <v>1397.2479584837649</v>
      </c>
      <c r="S84" s="3">
        <v>0.41194161005538116</v>
      </c>
      <c r="T84" s="4">
        <v>8.4761648159543483</v>
      </c>
    </row>
    <row r="85" spans="1:20" x14ac:dyDescent="0.3">
      <c r="A85" s="2" t="s">
        <v>152</v>
      </c>
      <c r="B85" s="2" t="s">
        <v>2</v>
      </c>
      <c r="C85" s="2" t="s">
        <v>1</v>
      </c>
      <c r="D85" s="2">
        <v>2034</v>
      </c>
      <c r="E85" s="7">
        <v>46086</v>
      </c>
      <c r="F85" s="3">
        <v>0.77333333333333332</v>
      </c>
      <c r="G85" s="3">
        <v>0.10333333333333333</v>
      </c>
      <c r="H85" s="3">
        <v>0.02</v>
      </c>
      <c r="I85" s="3">
        <v>7.413333333333334</v>
      </c>
      <c r="J85" s="6">
        <v>0.91720000000000002</v>
      </c>
      <c r="K85" s="6">
        <f>(1-Tabelle2[[#This Row],[Water Content (% of weight)]])*0.6</f>
        <v>4.9679999999999988E-2</v>
      </c>
      <c r="L85" s="6">
        <v>7.2816015555246388E-3</v>
      </c>
      <c r="M85" s="43">
        <v>31.824999999999999</v>
      </c>
      <c r="N85" s="43">
        <v>17.899999999999999</v>
      </c>
      <c r="O85" s="4">
        <v>71.836737467318173</v>
      </c>
      <c r="P85" s="4">
        <v>1502.860616471093</v>
      </c>
      <c r="Q85" s="4">
        <v>69.09374992921947</v>
      </c>
      <c r="R85" s="4">
        <v>1445.4759399418313</v>
      </c>
      <c r="S85" s="3">
        <v>0.37877050051867134</v>
      </c>
      <c r="T85" s="4">
        <v>7.9240690485077758</v>
      </c>
    </row>
    <row r="86" spans="1:20" x14ac:dyDescent="0.3">
      <c r="A86" s="2" t="s">
        <v>153</v>
      </c>
      <c r="B86" s="2" t="s">
        <v>0</v>
      </c>
      <c r="C86" s="2" t="s">
        <v>1</v>
      </c>
      <c r="D86" s="2">
        <v>2012</v>
      </c>
      <c r="E86" s="7">
        <v>46086</v>
      </c>
      <c r="F86" s="3">
        <v>1.0866666666666667</v>
      </c>
      <c r="G86" s="3">
        <v>0.12666666666666668</v>
      </c>
      <c r="H86" s="3">
        <v>1.6666666666666666E-2</v>
      </c>
      <c r="I86" s="3">
        <v>8.5966666666666658</v>
      </c>
      <c r="J86" s="6">
        <v>0.96350000000000002</v>
      </c>
      <c r="K86" s="6">
        <f>(1-Tabelle2[[#This Row],[Water Content (% of weight)]])*0.6</f>
        <v>2.1899999999999985E-2</v>
      </c>
      <c r="L86" s="6">
        <v>4.5616026570815659E-3</v>
      </c>
      <c r="M86" s="43">
        <v>43.875</v>
      </c>
      <c r="N86" s="43">
        <v>38.020000000000003</v>
      </c>
      <c r="O86" s="4">
        <v>86.071425220187834</v>
      </c>
      <c r="P86" s="4">
        <v>993.89636512918969</v>
      </c>
      <c r="Q86" s="4">
        <v>104.43749984353781</v>
      </c>
      <c r="R86" s="4">
        <v>1205.9757487706443</v>
      </c>
      <c r="S86" s="3">
        <v>0.71667969492281836</v>
      </c>
      <c r="T86" s="4">
        <v>8.2757470545360086</v>
      </c>
    </row>
    <row r="87" spans="1:20" x14ac:dyDescent="0.3">
      <c r="A87" s="2" t="s">
        <v>154</v>
      </c>
      <c r="B87" s="2" t="s">
        <v>0</v>
      </c>
      <c r="C87" s="2" t="s">
        <v>1</v>
      </c>
      <c r="D87" s="2">
        <v>2012</v>
      </c>
      <c r="E87" s="7">
        <v>46086</v>
      </c>
      <c r="F87" s="3">
        <v>0.97666666666666668</v>
      </c>
      <c r="G87" s="3">
        <v>0.12</v>
      </c>
      <c r="H87" s="3">
        <v>0.01</v>
      </c>
      <c r="I87" s="3">
        <v>8.0166666666666675</v>
      </c>
      <c r="J87" s="6">
        <v>0.94989999999999997</v>
      </c>
      <c r="K87" s="6">
        <f>(1-Tabelle2[[#This Row],[Water Content (% of weight)]])*0.6</f>
        <v>3.0060000000000017E-2</v>
      </c>
      <c r="L87" s="6">
        <v>4.8075043971082792E-3</v>
      </c>
      <c r="M87" s="43">
        <v>43.65</v>
      </c>
      <c r="N87" s="43">
        <v>37.424999999999997</v>
      </c>
      <c r="O87" s="4">
        <v>104.2346900823165</v>
      </c>
      <c r="P87" s="4">
        <v>1245.3367990718818</v>
      </c>
      <c r="Q87" s="4">
        <v>91.812500335276127</v>
      </c>
      <c r="R87" s="4">
        <v>1096.9235404453541</v>
      </c>
      <c r="S87" s="3">
        <v>0.66778386155302694</v>
      </c>
      <c r="T87" s="4">
        <v>7.9783018106693779</v>
      </c>
    </row>
    <row r="88" spans="1:20" x14ac:dyDescent="0.3">
      <c r="A88" s="2" t="s">
        <v>155</v>
      </c>
      <c r="B88" s="2" t="s">
        <v>0</v>
      </c>
      <c r="C88" s="2" t="s">
        <v>1</v>
      </c>
      <c r="D88" s="2">
        <v>2012</v>
      </c>
      <c r="E88" s="7">
        <v>46086</v>
      </c>
      <c r="F88" s="3">
        <v>1.0533333333333332</v>
      </c>
      <c r="G88" s="3">
        <v>9.3333333333333338E-2</v>
      </c>
      <c r="H88" s="3">
        <v>0.02</v>
      </c>
      <c r="I88" s="3">
        <v>11</v>
      </c>
      <c r="J88" s="6">
        <v>0.95140000000000002</v>
      </c>
      <c r="K88" s="6">
        <f>(1-Tabelle2[[#This Row],[Water Content (% of weight)]])*0.6</f>
        <v>2.9159999999999985E-2</v>
      </c>
      <c r="L88" s="6">
        <v>5.1347386302212968E-3</v>
      </c>
      <c r="M88" s="43">
        <v>44.5</v>
      </c>
      <c r="N88" s="43">
        <v>37.924999999999997</v>
      </c>
      <c r="O88" s="4">
        <v>94.38775567984095</v>
      </c>
      <c r="P88" s="4">
        <v>1018.2066416379821</v>
      </c>
      <c r="Q88" s="4">
        <v>98.906249344348907</v>
      </c>
      <c r="R88" s="4">
        <v>1066.949831114875</v>
      </c>
      <c r="S88" s="3">
        <v>0.65423992310535328</v>
      </c>
      <c r="T88" s="4">
        <v>7.0576043484935624</v>
      </c>
    </row>
    <row r="89" spans="1:20" x14ac:dyDescent="0.3">
      <c r="A89" s="2" t="s">
        <v>156</v>
      </c>
      <c r="B89" s="2" t="s">
        <v>0</v>
      </c>
      <c r="C89" s="2" t="s">
        <v>1</v>
      </c>
      <c r="D89" s="2">
        <v>2012</v>
      </c>
      <c r="E89" s="7">
        <v>46086</v>
      </c>
      <c r="F89" s="3">
        <v>0.60666666666666658</v>
      </c>
      <c r="G89" s="3">
        <v>0.17333333333333334</v>
      </c>
      <c r="H89" s="3">
        <v>4.6666666666666669E-2</v>
      </c>
      <c r="I89" s="3">
        <v>3.59</v>
      </c>
      <c r="J89" s="6">
        <v>0.95220000000000005</v>
      </c>
      <c r="K89" s="6">
        <f>(1-Tabelle2[[#This Row],[Water Content (% of weight)]])*0.6</f>
        <v>2.8679999999999969E-2</v>
      </c>
      <c r="L89" s="6">
        <v>4.5455432216779468E-3</v>
      </c>
      <c r="M89" s="43">
        <v>44.7</v>
      </c>
      <c r="N89" s="43">
        <v>39.150000000000006</v>
      </c>
      <c r="O89" s="4">
        <v>88.010206940222773</v>
      </c>
      <c r="P89" s="4">
        <v>1062.9252045920628</v>
      </c>
      <c r="Q89" s="4">
        <v>83.218749217689037</v>
      </c>
      <c r="R89" s="4">
        <v>1005.0573577015587</v>
      </c>
      <c r="S89" s="3">
        <v>0.54588862076469435</v>
      </c>
      <c r="T89" s="4">
        <v>6.5928577387040397</v>
      </c>
    </row>
    <row r="90" spans="1:20" x14ac:dyDescent="0.3">
      <c r="A90" s="2" t="s">
        <v>157</v>
      </c>
      <c r="B90" s="2" t="s">
        <v>2</v>
      </c>
      <c r="C90" s="2" t="s">
        <v>1</v>
      </c>
      <c r="D90" s="2">
        <v>2034</v>
      </c>
      <c r="E90" s="7">
        <v>46100</v>
      </c>
      <c r="F90" s="3">
        <v>0.69666666666666666</v>
      </c>
      <c r="G90" s="3">
        <v>0.17666666666666667</v>
      </c>
      <c r="H90" s="3">
        <v>0.02</v>
      </c>
      <c r="I90" s="3">
        <v>4.21</v>
      </c>
      <c r="J90" s="6">
        <v>0.91869999999999996</v>
      </c>
      <c r="K90" s="6">
        <f>(1-Tabelle2[[#This Row],[Water Content (% of weight)]])*0.6</f>
        <v>4.8780000000000025E-2</v>
      </c>
      <c r="L90" s="6">
        <v>6.7915106117351154E-3</v>
      </c>
      <c r="M90" s="43">
        <v>29.6</v>
      </c>
      <c r="N90" s="43">
        <v>14.01</v>
      </c>
      <c r="O90" s="4">
        <v>60.186571977031761</v>
      </c>
      <c r="P90" s="4">
        <v>740.30223833987372</v>
      </c>
      <c r="Q90" s="4">
        <v>116.06249970197678</v>
      </c>
      <c r="R90" s="4">
        <v>1427.5830221645354</v>
      </c>
      <c r="S90" s="4">
        <v>0.51036477537209834</v>
      </c>
      <c r="T90" s="4">
        <v>6.2775495125719321</v>
      </c>
    </row>
    <row r="91" spans="1:20" x14ac:dyDescent="0.3">
      <c r="A91" s="2" t="s">
        <v>158</v>
      </c>
      <c r="B91" s="2" t="s">
        <v>2</v>
      </c>
      <c r="C91" s="2" t="s">
        <v>1</v>
      </c>
      <c r="D91" s="2">
        <v>2034</v>
      </c>
      <c r="E91" s="7">
        <v>46100</v>
      </c>
      <c r="F91" s="3">
        <v>0.85</v>
      </c>
      <c r="G91" s="3">
        <v>0.10333333333333333</v>
      </c>
      <c r="H91" s="3">
        <v>2.6666666666666668E-2</v>
      </c>
      <c r="I91" s="3">
        <v>8.4366666666666674</v>
      </c>
      <c r="J91" s="6">
        <v>0.91949999999999998</v>
      </c>
      <c r="K91" s="6">
        <f>(1-Tabelle2[[#This Row],[Water Content (% of weight)]])*0.6</f>
        <v>4.830000000000001E-2</v>
      </c>
      <c r="L91" s="6">
        <v>5.9990181639669373E-3</v>
      </c>
      <c r="M91" s="43">
        <v>32.625</v>
      </c>
      <c r="N91" s="43">
        <v>18.630000000000003</v>
      </c>
      <c r="O91" s="4">
        <v>40.298506444069872</v>
      </c>
      <c r="P91" s="4">
        <v>500.602564522607</v>
      </c>
      <c r="Q91" s="4">
        <v>89.437500692903996</v>
      </c>
      <c r="R91" s="4">
        <v>1111.0248533279998</v>
      </c>
      <c r="S91" s="4">
        <v>0.50777945122212687</v>
      </c>
      <c r="T91" s="4">
        <v>6.3078192698400839</v>
      </c>
    </row>
    <row r="92" spans="1:20" x14ac:dyDescent="0.3">
      <c r="A92" s="2" t="s">
        <v>159</v>
      </c>
      <c r="B92" s="2" t="s">
        <v>2</v>
      </c>
      <c r="C92" s="2" t="s">
        <v>1</v>
      </c>
      <c r="D92" s="2">
        <v>2034</v>
      </c>
      <c r="E92" s="7">
        <v>46100</v>
      </c>
      <c r="F92" s="3">
        <v>0.7466666666666667</v>
      </c>
      <c r="G92" s="3">
        <v>0.18999999999999997</v>
      </c>
      <c r="H92" s="3">
        <v>6.6666666666666671E-3</v>
      </c>
      <c r="I92" s="3">
        <v>3.9966666666666666</v>
      </c>
      <c r="J92" s="6">
        <v>0.91569999999999996</v>
      </c>
      <c r="K92" s="6">
        <f>(1-Tabelle2[[#This Row],[Water Content (% of weight)]])*0.6</f>
        <v>5.0580000000000021E-2</v>
      </c>
      <c r="L92" s="6">
        <v>6.3448462632147316E-3</v>
      </c>
      <c r="M92" s="43">
        <v>31.200000000000003</v>
      </c>
      <c r="N92" s="43">
        <v>15.025</v>
      </c>
      <c r="O92" s="4">
        <v>43.582085735762298</v>
      </c>
      <c r="P92" s="4">
        <v>516.98796839575652</v>
      </c>
      <c r="Q92" s="4">
        <v>82.625001788139343</v>
      </c>
      <c r="R92" s="4">
        <v>980.13050756986127</v>
      </c>
      <c r="S92" s="4">
        <v>0.47217258230752479</v>
      </c>
      <c r="T92" s="4">
        <v>5.60109824801334</v>
      </c>
    </row>
    <row r="93" spans="1:20" x14ac:dyDescent="0.3">
      <c r="A93" s="2" t="s">
        <v>160</v>
      </c>
      <c r="B93" s="2" t="s">
        <v>2</v>
      </c>
      <c r="C93" s="2" t="s">
        <v>1</v>
      </c>
      <c r="D93" s="2">
        <v>2034</v>
      </c>
      <c r="E93" s="7">
        <v>46100</v>
      </c>
      <c r="F93" s="3">
        <v>0.83666666666666678</v>
      </c>
      <c r="G93" s="3">
        <v>0.10999999999999999</v>
      </c>
      <c r="H93" s="3">
        <v>2.3333333333333331E-2</v>
      </c>
      <c r="I93" s="3">
        <v>7.68</v>
      </c>
      <c r="J93" s="6">
        <v>0.91859999999999997</v>
      </c>
      <c r="K93" s="6">
        <f>(1-Tabelle2[[#This Row],[Water Content (% of weight)]])*0.6</f>
        <v>4.8840000000000015E-2</v>
      </c>
      <c r="L93" s="6">
        <v>5.6648957578684942E-3</v>
      </c>
      <c r="M93" s="43">
        <v>30.450000000000003</v>
      </c>
      <c r="N93" s="43">
        <v>16.990000000000002</v>
      </c>
      <c r="O93" s="4">
        <v>38.955225143859629</v>
      </c>
      <c r="P93" s="4">
        <v>478.56541945773483</v>
      </c>
      <c r="Q93" s="4">
        <v>74.7187529951334</v>
      </c>
      <c r="R93" s="4">
        <v>917.920798466012</v>
      </c>
      <c r="S93" s="4">
        <v>0.47863589268245332</v>
      </c>
      <c r="T93" s="4">
        <v>5.8800478216517584</v>
      </c>
    </row>
    <row r="94" spans="1:20" x14ac:dyDescent="0.3">
      <c r="A94" s="2" t="s">
        <v>161</v>
      </c>
      <c r="B94" s="2" t="s">
        <v>0</v>
      </c>
      <c r="C94" s="2" t="s">
        <v>1</v>
      </c>
      <c r="D94" s="2">
        <v>2012</v>
      </c>
      <c r="E94" s="7">
        <v>46100</v>
      </c>
      <c r="F94" s="3">
        <v>0.89666666666666661</v>
      </c>
      <c r="G94" s="3">
        <v>7.3333333333333348E-2</v>
      </c>
      <c r="H94" s="3">
        <v>0.03</v>
      </c>
      <c r="I94" s="3">
        <v>13.333333333333334</v>
      </c>
      <c r="J94" s="6">
        <v>0.95020000000000004</v>
      </c>
      <c r="K94" s="6">
        <f>(1-Tabelle2[[#This Row],[Water Content (% of weight)]])*0.6</f>
        <v>2.9879999999999973E-2</v>
      </c>
      <c r="L94" s="6">
        <v>4.2207565431701911E-3</v>
      </c>
      <c r="M94" s="43">
        <v>43.25</v>
      </c>
      <c r="N94" s="43">
        <v>43.954999999999998</v>
      </c>
      <c r="O94" s="4">
        <v>37.574624219047486</v>
      </c>
      <c r="P94" s="4">
        <v>754.51052648689802</v>
      </c>
      <c r="Q94" s="4">
        <v>57.062499810010181</v>
      </c>
      <c r="R94" s="4">
        <v>1145.8333295182777</v>
      </c>
      <c r="S94" s="4">
        <v>0.35959386821078698</v>
      </c>
      <c r="T94" s="4">
        <v>7.2207604058391022</v>
      </c>
    </row>
    <row r="95" spans="1:20" x14ac:dyDescent="0.3">
      <c r="A95" s="2" t="s">
        <v>162</v>
      </c>
      <c r="B95" s="2" t="s">
        <v>0</v>
      </c>
      <c r="C95" s="2" t="s">
        <v>1</v>
      </c>
      <c r="D95" s="2">
        <v>2012</v>
      </c>
      <c r="E95" s="7">
        <v>46100</v>
      </c>
      <c r="F95" s="3">
        <v>0.95000000000000007</v>
      </c>
      <c r="G95" s="3">
        <v>6.6666666666666666E-2</v>
      </c>
      <c r="H95" s="3">
        <v>0.02</v>
      </c>
      <c r="I95" s="3">
        <v>14.476666666666667</v>
      </c>
      <c r="J95" s="6">
        <v>0.94830000000000003</v>
      </c>
      <c r="K95" s="6">
        <f>(1-Tabelle2[[#This Row],[Water Content (% of weight)]])*0.6</f>
        <v>3.1019999999999978E-2</v>
      </c>
      <c r="L95" s="6">
        <v>4.3199999999998795E-3</v>
      </c>
      <c r="M95" s="43">
        <v>42.674999999999997</v>
      </c>
      <c r="N95" s="43">
        <v>35.855000000000004</v>
      </c>
      <c r="O95" s="4">
        <v>52.201490064165476</v>
      </c>
      <c r="P95" s="4">
        <v>1009.7000012411123</v>
      </c>
      <c r="Q95" s="4">
        <v>58.65625117719172</v>
      </c>
      <c r="R95" s="4">
        <v>1134.550312905063</v>
      </c>
      <c r="S95" s="4">
        <v>0.3411441027159931</v>
      </c>
      <c r="T95" s="4">
        <v>6.5985319674273368</v>
      </c>
    </row>
    <row r="96" spans="1:20" x14ac:dyDescent="0.3">
      <c r="A96" s="2" t="s">
        <v>163</v>
      </c>
      <c r="B96" s="2" t="s">
        <v>0</v>
      </c>
      <c r="C96" s="2" t="s">
        <v>1</v>
      </c>
      <c r="D96" s="2">
        <v>2012</v>
      </c>
      <c r="E96" s="7">
        <v>46100</v>
      </c>
      <c r="F96" s="3">
        <v>1.0566666666666666</v>
      </c>
      <c r="G96" s="3">
        <v>0.08</v>
      </c>
      <c r="H96" s="3">
        <v>3.3333333333333333E-2</v>
      </c>
      <c r="I96" s="3">
        <v>12.936666666666667</v>
      </c>
      <c r="J96" s="6">
        <v>0.94330000000000003</v>
      </c>
      <c r="K96" s="6">
        <f>(1-Tabelle2[[#This Row],[Water Content (% of weight)]])*0.6</f>
        <v>3.4019999999999981E-2</v>
      </c>
      <c r="L96" s="6">
        <v>4.719976400118368E-3</v>
      </c>
      <c r="M96" s="43">
        <v>45.2</v>
      </c>
      <c r="N96" s="43">
        <v>37.33</v>
      </c>
      <c r="O96" s="4">
        <v>62.126864408379163</v>
      </c>
      <c r="P96" s="4">
        <v>1095.7118943276753</v>
      </c>
      <c r="Q96" s="4">
        <v>78.718750856816769</v>
      </c>
      <c r="R96" s="4">
        <v>1388.3377576158166</v>
      </c>
      <c r="S96" s="4">
        <v>0.34443452482195702</v>
      </c>
      <c r="T96" s="4">
        <v>6.0746829774595623</v>
      </c>
    </row>
    <row r="97" spans="1:20" x14ac:dyDescent="0.3">
      <c r="A97" s="2" t="s">
        <v>164</v>
      </c>
      <c r="B97" s="2" t="s">
        <v>0</v>
      </c>
      <c r="C97" s="2" t="s">
        <v>1</v>
      </c>
      <c r="D97" s="2">
        <v>2012</v>
      </c>
      <c r="E97" s="7">
        <v>46100</v>
      </c>
      <c r="F97" s="3">
        <v>0.91333333333333322</v>
      </c>
      <c r="G97" s="3">
        <v>0.12</v>
      </c>
      <c r="H97" s="3">
        <v>1.3333333333333334E-2</v>
      </c>
      <c r="I97" s="3">
        <v>7.84</v>
      </c>
      <c r="J97" s="6">
        <v>0.94330000000000003</v>
      </c>
      <c r="K97" s="6">
        <f>(1-Tabelle2[[#This Row],[Water Content (% of weight)]])*0.6</f>
        <v>3.4019999999999981E-2</v>
      </c>
      <c r="L97" s="6">
        <v>4.9776258233196116E-3</v>
      </c>
      <c r="M97" s="43">
        <v>41.725000000000001</v>
      </c>
      <c r="N97" s="43">
        <v>32.42</v>
      </c>
      <c r="O97" s="4">
        <v>34.141791449553928</v>
      </c>
      <c r="P97" s="4">
        <v>602.1479973466304</v>
      </c>
      <c r="Q97" s="4">
        <v>69.281249426305294</v>
      </c>
      <c r="R97" s="4">
        <v>1221.8915242734627</v>
      </c>
      <c r="S97" s="4">
        <v>0.31963901781123566</v>
      </c>
      <c r="T97" s="4">
        <v>5.6373724481699439</v>
      </c>
    </row>
    <row r="98" spans="1:20" x14ac:dyDescent="0.3">
      <c r="A98" s="2" t="s">
        <v>165</v>
      </c>
      <c r="B98" s="2" t="s">
        <v>2</v>
      </c>
      <c r="C98" s="2" t="s">
        <v>1</v>
      </c>
      <c r="D98" s="2">
        <v>2034</v>
      </c>
      <c r="E98" s="7">
        <v>46114</v>
      </c>
      <c r="F98" s="3">
        <v>0.61</v>
      </c>
      <c r="G98" s="3">
        <v>0.10666666666666667</v>
      </c>
      <c r="H98" s="3">
        <v>3.3333333333333335E-3</v>
      </c>
      <c r="I98" s="3">
        <v>5.7399999999999993</v>
      </c>
      <c r="J98" s="6">
        <v>0.90569999999999995</v>
      </c>
      <c r="K98" s="6">
        <f>(1-Tabelle2[[#This Row],[Water Content (% of weight)]])*0.6</f>
        <v>5.6580000000000026E-2</v>
      </c>
      <c r="L98" s="6">
        <v>5.8922392486402469E-3</v>
      </c>
      <c r="M98" s="43">
        <v>28.925000000000001</v>
      </c>
      <c r="N98" s="43">
        <v>11.495000000000001</v>
      </c>
      <c r="O98" s="4">
        <v>38.607142750705989</v>
      </c>
      <c r="P98" s="4">
        <v>409.40766437652138</v>
      </c>
      <c r="Q98" s="4">
        <v>79.562500603497014</v>
      </c>
      <c r="R98" s="4">
        <v>843.71686748141008</v>
      </c>
      <c r="S98" s="4">
        <v>0.41309985322865678</v>
      </c>
      <c r="T98" s="4">
        <v>4.3806983375255202</v>
      </c>
    </row>
    <row r="99" spans="1:20" x14ac:dyDescent="0.3">
      <c r="A99" s="2" t="s">
        <v>166</v>
      </c>
      <c r="B99" s="2" t="s">
        <v>2</v>
      </c>
      <c r="C99" s="2" t="s">
        <v>1</v>
      </c>
      <c r="D99" s="2">
        <v>2034</v>
      </c>
      <c r="E99" s="7">
        <v>46114</v>
      </c>
      <c r="F99" s="3">
        <v>0.67666666666666675</v>
      </c>
      <c r="G99" s="3">
        <v>7.0000000000000007E-2</v>
      </c>
      <c r="H99" s="3">
        <v>1.3333333333333334E-2</v>
      </c>
      <c r="I99" s="3">
        <v>9.68</v>
      </c>
      <c r="J99" s="6">
        <v>0.90759999999999996</v>
      </c>
      <c r="K99" s="6">
        <f>(1-Tabelle2[[#This Row],[Water Content (% of weight)]])*0.6</f>
        <v>5.5440000000000024E-2</v>
      </c>
      <c r="L99" s="6">
        <v>5.4237821054492546E-3</v>
      </c>
      <c r="M99" s="43">
        <v>30.675000000000001</v>
      </c>
      <c r="N99" s="43">
        <v>15.52</v>
      </c>
      <c r="O99" s="4">
        <v>60.642860182694029</v>
      </c>
      <c r="P99" s="4">
        <v>656.30801063521653</v>
      </c>
      <c r="Q99" s="4">
        <v>80.59374943375586</v>
      </c>
      <c r="R99" s="4">
        <v>872.22672547354796</v>
      </c>
      <c r="S99" s="4">
        <v>0.46861222554119014</v>
      </c>
      <c r="T99" s="4">
        <v>5.0715608824804104</v>
      </c>
    </row>
    <row r="100" spans="1:20" x14ac:dyDescent="0.3">
      <c r="A100" s="2" t="s">
        <v>167</v>
      </c>
      <c r="B100" s="2" t="s">
        <v>2</v>
      </c>
      <c r="C100" s="2" t="s">
        <v>1</v>
      </c>
      <c r="D100" s="2">
        <v>2034</v>
      </c>
      <c r="E100" s="7">
        <v>46114</v>
      </c>
      <c r="F100" s="3">
        <v>0.48</v>
      </c>
      <c r="G100" s="3">
        <v>0.18666666666666668</v>
      </c>
      <c r="H100" s="3">
        <v>0.03</v>
      </c>
      <c r="I100" s="3">
        <v>2.5866666666666664</v>
      </c>
      <c r="J100" s="6">
        <v>0.90569999999999995</v>
      </c>
      <c r="K100" s="6">
        <f>(1-Tabelle2[[#This Row],[Water Content (% of weight)]])*0.6</f>
        <v>5.6580000000000026E-2</v>
      </c>
      <c r="L100" s="6">
        <v>6.2449834576457511E-3</v>
      </c>
      <c r="M100" s="43">
        <v>34</v>
      </c>
      <c r="N100" s="43">
        <v>20.34</v>
      </c>
      <c r="O100" s="4">
        <v>119.6428584115846</v>
      </c>
      <c r="P100" s="4">
        <v>1268.7471729754457</v>
      </c>
      <c r="Q100" s="4">
        <v>82.906251326203332</v>
      </c>
      <c r="R100" s="4">
        <v>879.17551777522044</v>
      </c>
      <c r="S100" s="4">
        <v>0.62905316340474915</v>
      </c>
      <c r="T100" s="4">
        <v>6.670765253496806</v>
      </c>
    </row>
    <row r="101" spans="1:20" x14ac:dyDescent="0.3">
      <c r="A101" s="2" t="s">
        <v>169</v>
      </c>
      <c r="B101" s="2" t="s">
        <v>2</v>
      </c>
      <c r="C101" s="2" t="s">
        <v>1</v>
      </c>
      <c r="D101" s="2">
        <v>2034</v>
      </c>
      <c r="E101" s="7">
        <v>46114</v>
      </c>
      <c r="F101" s="3">
        <v>0.62</v>
      </c>
      <c r="G101" s="3">
        <v>9.6666666666666679E-2</v>
      </c>
      <c r="H101" s="3">
        <v>0.01</v>
      </c>
      <c r="I101" s="3">
        <v>6.4533333333333331</v>
      </c>
      <c r="J101" s="6">
        <v>0.90700000000000003</v>
      </c>
      <c r="K101" s="6">
        <f>(1-Tabelle2[[#This Row],[Water Content (% of weight)]])*0.6</f>
        <v>5.5799999999999982E-2</v>
      </c>
      <c r="L101" s="6">
        <v>5.7061061218086359E-3</v>
      </c>
      <c r="M101" s="43">
        <v>32.825000000000003</v>
      </c>
      <c r="N101" s="43">
        <v>18.285</v>
      </c>
      <c r="O101" s="4">
        <v>97.071425608226249</v>
      </c>
      <c r="P101" s="4">
        <v>1043.7787699809278</v>
      </c>
      <c r="Q101" s="4">
        <v>80.093750283122048</v>
      </c>
      <c r="R101" s="4">
        <v>861.22312132389322</v>
      </c>
      <c r="S101" s="4">
        <v>0.43709470412455947</v>
      </c>
      <c r="T101" s="4">
        <v>4.6999430551027919</v>
      </c>
    </row>
    <row r="102" spans="1:20" x14ac:dyDescent="0.3">
      <c r="A102" s="2" t="s">
        <v>170</v>
      </c>
      <c r="B102" s="2" t="s">
        <v>0</v>
      </c>
      <c r="C102" s="2" t="s">
        <v>1</v>
      </c>
      <c r="D102" s="2">
        <v>2012</v>
      </c>
      <c r="E102" s="7">
        <v>46114</v>
      </c>
      <c r="F102" s="3">
        <v>0.87</v>
      </c>
      <c r="G102" s="3">
        <v>8.666666666666667E-2</v>
      </c>
      <c r="H102" s="3">
        <v>3.3333333333333335E-3</v>
      </c>
      <c r="I102" s="3">
        <v>10.49</v>
      </c>
      <c r="J102" s="6">
        <v>0.93559999999999999</v>
      </c>
      <c r="K102" s="6">
        <f>(1-Tabelle2[[#This Row],[Water Content (% of weight)]])*0.6</f>
        <v>3.8640000000000008E-2</v>
      </c>
      <c r="L102" s="6">
        <v>3.0736384885797136E-3</v>
      </c>
      <c r="M102" s="43">
        <v>45.099999999999994</v>
      </c>
      <c r="N102" s="43">
        <v>43.004999999999995</v>
      </c>
      <c r="O102" s="4">
        <v>188.21429290090288</v>
      </c>
      <c r="P102" s="4">
        <v>2922.5821879022178</v>
      </c>
      <c r="Q102" s="4">
        <v>69.906250126659856</v>
      </c>
      <c r="R102" s="4">
        <v>1085.5007783642832</v>
      </c>
      <c r="S102" s="4">
        <v>0.30933852597742528</v>
      </c>
      <c r="T102" s="4">
        <v>4.8033932605190248</v>
      </c>
    </row>
    <row r="103" spans="1:20" x14ac:dyDescent="0.3">
      <c r="A103" s="2" t="s">
        <v>171</v>
      </c>
      <c r="B103" s="2" t="s">
        <v>0</v>
      </c>
      <c r="C103" s="2" t="s">
        <v>1</v>
      </c>
      <c r="D103" s="2">
        <v>2012</v>
      </c>
      <c r="E103" s="7">
        <v>46114</v>
      </c>
      <c r="F103" s="3">
        <v>0.81666666666666676</v>
      </c>
      <c r="G103" s="3">
        <v>7.3333333333333334E-2</v>
      </c>
      <c r="H103" s="3">
        <v>1.3333333333333334E-2</v>
      </c>
      <c r="I103" s="3">
        <v>13.190000000000003</v>
      </c>
      <c r="J103" s="6">
        <v>0.93969999999999998</v>
      </c>
      <c r="K103" s="6">
        <f>(1-Tabelle2[[#This Row],[Water Content (% of weight)]])*0.6</f>
        <v>3.6180000000000011E-2</v>
      </c>
      <c r="L103" s="6">
        <v>2.8730399595351406E-3</v>
      </c>
      <c r="M103" s="43">
        <v>40.400000000000006</v>
      </c>
      <c r="N103" s="43">
        <v>32.75</v>
      </c>
      <c r="O103" s="4">
        <v>151.92857107094358</v>
      </c>
      <c r="P103" s="4">
        <v>2519.5451255546191</v>
      </c>
      <c r="Q103" s="4">
        <v>70.65625118091701</v>
      </c>
      <c r="R103" s="4">
        <v>1171.7454590533498</v>
      </c>
      <c r="S103" s="4">
        <v>0.40635540599798253</v>
      </c>
      <c r="T103" s="4">
        <v>6.7388956218570879</v>
      </c>
    </row>
    <row r="104" spans="1:20" x14ac:dyDescent="0.3">
      <c r="A104" s="2" t="s">
        <v>172</v>
      </c>
      <c r="B104" s="2" t="s">
        <v>0</v>
      </c>
      <c r="C104" s="2" t="s">
        <v>1</v>
      </c>
      <c r="D104" s="2">
        <v>2012</v>
      </c>
      <c r="E104" s="7">
        <v>46114</v>
      </c>
      <c r="F104" s="3">
        <v>0.73</v>
      </c>
      <c r="G104" s="3">
        <v>7.0000000000000007E-2</v>
      </c>
      <c r="H104" s="3">
        <v>0.02</v>
      </c>
      <c r="I104" s="3">
        <v>10.363333333333333</v>
      </c>
      <c r="J104" s="6">
        <v>0.93859999999999999</v>
      </c>
      <c r="K104" s="6">
        <f>(1-Tabelle2[[#This Row],[Water Content (% of weight)]])*0.6</f>
        <v>3.6840000000000005E-2</v>
      </c>
      <c r="L104" s="6">
        <v>3.5885649772181756E-3</v>
      </c>
      <c r="M104" s="43">
        <v>40.049999999999997</v>
      </c>
      <c r="N104" s="43">
        <v>30.89</v>
      </c>
      <c r="O104" s="4">
        <v>40.321428213800701</v>
      </c>
      <c r="P104" s="4">
        <v>656.70078524105361</v>
      </c>
      <c r="Q104" s="4">
        <v>61.937500275671468</v>
      </c>
      <c r="R104" s="4">
        <v>1008.754076151001</v>
      </c>
      <c r="S104" s="4">
        <v>0.32036314332222343</v>
      </c>
      <c r="T104" s="4">
        <v>5.2176407707202506</v>
      </c>
    </row>
    <row r="105" spans="1:20" x14ac:dyDescent="0.3">
      <c r="A105" s="2" t="s">
        <v>173</v>
      </c>
      <c r="B105" s="2" t="s">
        <v>0</v>
      </c>
      <c r="C105" s="2" t="s">
        <v>1</v>
      </c>
      <c r="D105" s="2">
        <v>2012</v>
      </c>
      <c r="E105" s="7">
        <v>46114</v>
      </c>
      <c r="F105" s="3">
        <v>0.83666666666666678</v>
      </c>
      <c r="G105" s="3">
        <v>0.10333333333333333</v>
      </c>
      <c r="H105" s="3">
        <v>0.03</v>
      </c>
      <c r="I105" s="3">
        <v>8.293333333333333</v>
      </c>
      <c r="J105" s="6">
        <v>0.94299999999999995</v>
      </c>
      <c r="K105" s="6">
        <f>(1-Tabelle2[[#This Row],[Water Content (% of weight)]])*0.6</f>
        <v>3.4200000000000029E-2</v>
      </c>
      <c r="L105" s="6">
        <v>2.9871278372801619E-3</v>
      </c>
      <c r="M105" s="43">
        <v>37.325000000000003</v>
      </c>
      <c r="N105" s="43">
        <v>25.15</v>
      </c>
      <c r="O105" s="4">
        <v>52.999996066093445</v>
      </c>
      <c r="P105" s="4">
        <v>929.82449238760341</v>
      </c>
      <c r="Q105" s="4">
        <v>61.499999854713664</v>
      </c>
      <c r="R105" s="4">
        <v>1078.9473658721686</v>
      </c>
      <c r="S105" s="4">
        <v>0.32788585249706614</v>
      </c>
      <c r="T105" s="4">
        <v>5.7523833771415065</v>
      </c>
    </row>
    <row r="106" spans="1:20" x14ac:dyDescent="0.3">
      <c r="A106" s="2" t="s">
        <v>174</v>
      </c>
      <c r="B106" s="2" t="s">
        <v>2</v>
      </c>
      <c r="C106" s="2" t="s">
        <v>1</v>
      </c>
      <c r="D106" s="2">
        <v>2034</v>
      </c>
      <c r="E106" s="7">
        <v>46128</v>
      </c>
      <c r="F106" s="3">
        <v>0.66</v>
      </c>
      <c r="G106" s="3">
        <v>7.6666666666666661E-2</v>
      </c>
      <c r="H106" s="3">
        <v>3.3333333333333333E-2</v>
      </c>
      <c r="I106" s="3">
        <v>9.3666666666666671</v>
      </c>
      <c r="J106" s="6">
        <v>0.90249999999999997</v>
      </c>
      <c r="K106" s="6">
        <f>(1-Tabelle2[[#This Row],[Water Content (% of weight)]])*0.6</f>
        <v>5.8500000000000017E-2</v>
      </c>
      <c r="L106" s="6">
        <v>6.4442905509394495E-3</v>
      </c>
      <c r="M106" s="43">
        <v>32.774999999999999</v>
      </c>
      <c r="N106" s="43">
        <v>18.89</v>
      </c>
      <c r="O106" s="4">
        <v>26.678568967751097</v>
      </c>
      <c r="P106" s="4">
        <v>273.62634838719066</v>
      </c>
      <c r="Q106" s="4">
        <v>51.99999867379664</v>
      </c>
      <c r="R106" s="4">
        <v>533.33331973124746</v>
      </c>
      <c r="S106" s="4">
        <v>0.31672472649196581</v>
      </c>
      <c r="T106" s="4">
        <v>3.2484587332509305</v>
      </c>
    </row>
    <row r="107" spans="1:20" x14ac:dyDescent="0.3">
      <c r="A107" s="2" t="s">
        <v>175</v>
      </c>
      <c r="B107" s="2" t="s">
        <v>2</v>
      </c>
      <c r="C107" s="2" t="s">
        <v>1</v>
      </c>
      <c r="D107" s="2">
        <v>2034</v>
      </c>
      <c r="E107" s="7">
        <v>46128</v>
      </c>
      <c r="F107" s="3">
        <v>0.60666666666666669</v>
      </c>
      <c r="G107" s="3">
        <v>5.6666666666666671E-2</v>
      </c>
      <c r="H107" s="3">
        <v>2.3333333333333334E-2</v>
      </c>
      <c r="I107" s="3">
        <v>10.92</v>
      </c>
      <c r="J107" s="6">
        <v>0.89610000000000001</v>
      </c>
      <c r="K107" s="6">
        <f>(1-Tabelle2[[#This Row],[Water Content (% of weight)]])*0.6</f>
        <v>6.2339999999999993E-2</v>
      </c>
      <c r="L107" s="6">
        <v>7.2542267961454542E-3</v>
      </c>
      <c r="M107" s="43">
        <v>31.45</v>
      </c>
      <c r="N107" s="43">
        <v>17.024999999999999</v>
      </c>
      <c r="O107" s="4">
        <v>48.107141247817445</v>
      </c>
      <c r="P107" s="4">
        <v>463.01387149006206</v>
      </c>
      <c r="Q107" s="4">
        <v>59.250000327825532</v>
      </c>
      <c r="R107" s="4">
        <v>570.25986841025542</v>
      </c>
      <c r="S107" s="4">
        <v>0.3879210209043461</v>
      </c>
      <c r="T107" s="4">
        <v>3.7335998162112234</v>
      </c>
    </row>
    <row r="108" spans="1:20" x14ac:dyDescent="0.3">
      <c r="A108" s="2" t="s">
        <v>176</v>
      </c>
      <c r="B108" s="2" t="s">
        <v>2</v>
      </c>
      <c r="C108" s="2" t="s">
        <v>1</v>
      </c>
      <c r="D108" s="2">
        <v>2034</v>
      </c>
      <c r="E108" s="7">
        <v>46128</v>
      </c>
      <c r="F108" s="3">
        <v>0.4466666666666666</v>
      </c>
      <c r="G108" s="3">
        <v>0.11666666666666665</v>
      </c>
      <c r="H108" s="3">
        <v>1.6666666666666666E-2</v>
      </c>
      <c r="I108" s="3">
        <v>3.8466666666666662</v>
      </c>
      <c r="J108" s="6">
        <v>0.88729999999999998</v>
      </c>
      <c r="K108" s="6">
        <f>(1-Tabelle2[[#This Row],[Water Content (% of weight)]])*0.6</f>
        <v>6.7620000000000013E-2</v>
      </c>
      <c r="L108" s="6">
        <v>8.0498118477711142E-3</v>
      </c>
      <c r="M108" s="43">
        <v>29.524999999999999</v>
      </c>
      <c r="N108" s="43">
        <v>14.55</v>
      </c>
      <c r="O108" s="4">
        <v>51.750001515660969</v>
      </c>
      <c r="P108" s="4">
        <v>459.18368691802095</v>
      </c>
      <c r="Q108" s="4">
        <v>58.374999485909925</v>
      </c>
      <c r="R108" s="4">
        <v>517.96805222635237</v>
      </c>
      <c r="S108" s="4">
        <v>0.37921022781788538</v>
      </c>
      <c r="T108" s="4">
        <v>3.3647757570353622</v>
      </c>
    </row>
    <row r="109" spans="1:20" x14ac:dyDescent="0.3">
      <c r="A109" s="2" t="s">
        <v>177</v>
      </c>
      <c r="B109" s="2" t="s">
        <v>2</v>
      </c>
      <c r="C109" s="2" t="s">
        <v>1</v>
      </c>
      <c r="D109" s="2">
        <v>2034</v>
      </c>
      <c r="E109" s="7">
        <v>46128</v>
      </c>
      <c r="F109" s="3">
        <v>0.71333333333333337</v>
      </c>
      <c r="G109" s="3">
        <v>5.6666666666666671E-2</v>
      </c>
      <c r="H109" s="3">
        <v>0.04</v>
      </c>
      <c r="I109" s="3">
        <v>13.116666666666667</v>
      </c>
      <c r="J109" s="6">
        <v>0.89839999999999998</v>
      </c>
      <c r="K109" s="6">
        <f>(1-Tabelle2[[#This Row],[Water Content (% of weight)]])*0.6</f>
        <v>6.0960000000000014E-2</v>
      </c>
      <c r="L109" s="6">
        <v>7.9103001809668963E-3</v>
      </c>
      <c r="M109" s="43">
        <v>30</v>
      </c>
      <c r="N109" s="43">
        <v>14.734999999999999</v>
      </c>
      <c r="O109" s="4">
        <v>41.500000966446734</v>
      </c>
      <c r="P109" s="4">
        <v>408.46457644140474</v>
      </c>
      <c r="Q109" s="4">
        <v>57.96875192224978</v>
      </c>
      <c r="R109" s="4">
        <v>570.55858191190714</v>
      </c>
      <c r="S109" s="4">
        <v>0.40336817725887142</v>
      </c>
      <c r="T109" s="4">
        <v>3.9701592249888908</v>
      </c>
    </row>
    <row r="110" spans="1:20" x14ac:dyDescent="0.3">
      <c r="A110" s="2" t="s">
        <v>178</v>
      </c>
      <c r="B110" s="2" t="s">
        <v>0</v>
      </c>
      <c r="C110" s="2" t="s">
        <v>1</v>
      </c>
      <c r="D110" s="2">
        <v>2012</v>
      </c>
      <c r="E110" s="7">
        <v>46128</v>
      </c>
      <c r="F110" s="3">
        <v>0.82333333333333325</v>
      </c>
      <c r="G110" s="3">
        <v>0.08</v>
      </c>
      <c r="H110" s="3">
        <v>2.6666666666666668E-2</v>
      </c>
      <c r="I110" s="3">
        <v>11.26</v>
      </c>
      <c r="J110" s="6">
        <v>0.94230000000000003</v>
      </c>
      <c r="K110" s="6">
        <f>(1-Tabelle2[[#This Row],[Water Content (% of weight)]])*0.6</f>
        <v>3.4619999999999984E-2</v>
      </c>
      <c r="L110" s="6">
        <v>3.3337278573400586E-3</v>
      </c>
      <c r="M110" s="43">
        <v>44.55</v>
      </c>
      <c r="N110" s="43">
        <v>39.01</v>
      </c>
      <c r="O110" s="4">
        <v>28.750000672680994</v>
      </c>
      <c r="P110" s="4">
        <v>498.26690940521678</v>
      </c>
      <c r="Q110" s="4">
        <v>33.1562509983778</v>
      </c>
      <c r="R110" s="4">
        <v>574.63173307413888</v>
      </c>
      <c r="S110" s="4">
        <v>0.26120788040338361</v>
      </c>
      <c r="T110" s="4">
        <v>4.5269996603706018</v>
      </c>
    </row>
    <row r="111" spans="1:20" x14ac:dyDescent="0.3">
      <c r="A111" s="2" t="s">
        <v>179</v>
      </c>
      <c r="B111" s="2" t="s">
        <v>0</v>
      </c>
      <c r="C111" s="2" t="s">
        <v>1</v>
      </c>
      <c r="D111" s="2">
        <v>2012</v>
      </c>
      <c r="E111" s="7">
        <v>46128</v>
      </c>
      <c r="F111" s="3">
        <v>0.77666666666666673</v>
      </c>
      <c r="G111" s="3">
        <v>6.3333333333333339E-2</v>
      </c>
      <c r="H111" s="3">
        <v>3.3333333333333333E-2</v>
      </c>
      <c r="I111" s="3">
        <v>12.393333333333333</v>
      </c>
      <c r="J111" s="6">
        <v>0.94220000000000004</v>
      </c>
      <c r="K111" s="6">
        <f>(1-Tabelle2[[#This Row],[Water Content (% of weight)]])*0.6</f>
        <v>3.4679999999999975E-2</v>
      </c>
      <c r="L111" s="6">
        <v>4.0752923976597605E-3</v>
      </c>
      <c r="M111" s="43">
        <v>42</v>
      </c>
      <c r="N111" s="43">
        <v>27.83</v>
      </c>
      <c r="O111" s="4">
        <v>30.071427664586473</v>
      </c>
      <c r="P111" s="4">
        <v>520.2669146122231</v>
      </c>
      <c r="Q111" s="4">
        <v>38.593749910593033</v>
      </c>
      <c r="R111" s="4">
        <v>667.71193616943003</v>
      </c>
      <c r="S111" s="4">
        <v>0.30836235405260681</v>
      </c>
      <c r="T111" s="4">
        <v>5.3349888244395673</v>
      </c>
    </row>
    <row r="112" spans="1:20" x14ac:dyDescent="0.3">
      <c r="A112" s="2" t="s">
        <v>180</v>
      </c>
      <c r="B112" s="2" t="s">
        <v>0</v>
      </c>
      <c r="C112" s="2" t="s">
        <v>1</v>
      </c>
      <c r="D112" s="2">
        <v>2012</v>
      </c>
      <c r="E112" s="7">
        <v>46128</v>
      </c>
      <c r="F112" s="3">
        <v>0.58333333333333337</v>
      </c>
      <c r="G112" s="3">
        <v>0.12</v>
      </c>
      <c r="H112" s="3">
        <v>6.6666666666666671E-3</v>
      </c>
      <c r="I112" s="3">
        <v>5.05</v>
      </c>
      <c r="J112" s="6">
        <v>0.94110000000000005</v>
      </c>
      <c r="K112" s="6">
        <f>(1-Tabelle2[[#This Row],[Water Content (% of weight)]])*0.6</f>
        <v>3.5339999999999969E-2</v>
      </c>
      <c r="L112" s="6">
        <v>3.5579063528610902E-3</v>
      </c>
      <c r="M112" s="43">
        <v>45.674999999999997</v>
      </c>
      <c r="N112" s="43">
        <v>42.805</v>
      </c>
      <c r="O112" s="4">
        <v>25.678570666483473</v>
      </c>
      <c r="P112" s="4">
        <v>435.9689417060016</v>
      </c>
      <c r="Q112" s="4">
        <v>35.812501724809408</v>
      </c>
      <c r="R112" s="4">
        <v>608.02210059099218</v>
      </c>
      <c r="S112" s="4">
        <v>0.28780487821492584</v>
      </c>
      <c r="T112" s="4">
        <v>4.8863306997440761</v>
      </c>
    </row>
    <row r="113" spans="1:20" x14ac:dyDescent="0.3">
      <c r="A113" s="2" t="s">
        <v>181</v>
      </c>
      <c r="B113" s="2" t="s">
        <v>0</v>
      </c>
      <c r="C113" s="2" t="s">
        <v>1</v>
      </c>
      <c r="D113" s="2">
        <v>2012</v>
      </c>
      <c r="E113" s="7">
        <v>46128</v>
      </c>
      <c r="F113" s="3">
        <v>0.70000000000000007</v>
      </c>
      <c r="G113" s="3">
        <v>0.10333333333333333</v>
      </c>
      <c r="H113" s="3">
        <v>4.3333333333333335E-2</v>
      </c>
      <c r="I113" s="3">
        <v>6.916666666666667</v>
      </c>
      <c r="J113" s="6">
        <v>0.9405</v>
      </c>
      <c r="K113" s="6">
        <f>(1-Tabelle2[[#This Row],[Water Content (% of weight)]])*0.6</f>
        <v>3.5699999999999996E-2</v>
      </c>
      <c r="L113" s="6">
        <v>4.3352850752201152E-3</v>
      </c>
      <c r="M113" s="43">
        <v>37.825000000000003</v>
      </c>
      <c r="N113" s="43">
        <v>24.46</v>
      </c>
      <c r="O113" s="4">
        <v>32.821428980146138</v>
      </c>
      <c r="P113" s="4">
        <v>551.62065512850654</v>
      </c>
      <c r="Q113" s="4">
        <v>44.906254321336739</v>
      </c>
      <c r="R113" s="4">
        <v>754.72696338381081</v>
      </c>
      <c r="S113" s="4">
        <v>0.34831591510883469</v>
      </c>
      <c r="T113" s="4">
        <v>5.8540489934257938</v>
      </c>
    </row>
    <row r="114" spans="1:20" x14ac:dyDescent="0.3">
      <c r="A114" s="2" t="s">
        <v>182</v>
      </c>
      <c r="B114" s="2" t="s">
        <v>2</v>
      </c>
      <c r="C114" s="2" t="s">
        <v>1</v>
      </c>
      <c r="D114" s="2">
        <v>2034</v>
      </c>
      <c r="E114" s="7">
        <v>46141</v>
      </c>
      <c r="F114" s="3">
        <v>0.58666666666666656</v>
      </c>
      <c r="G114" s="3">
        <v>0.11666666666666665</v>
      </c>
      <c r="H114" s="3">
        <v>0.03</v>
      </c>
      <c r="I114" s="3">
        <v>5.45</v>
      </c>
      <c r="J114" s="6">
        <v>0.92069999999999996</v>
      </c>
      <c r="K114" s="6">
        <f>(1-Tabelle2[[#This Row],[Water Content (% of weight)]])*0.6</f>
        <v>4.7580000000000018E-2</v>
      </c>
      <c r="L114" s="6">
        <v>5.2347778171373937E-3</v>
      </c>
      <c r="M114" s="43">
        <v>31.45</v>
      </c>
      <c r="N114" s="43">
        <v>16.914999999999999</v>
      </c>
      <c r="O114" s="4">
        <v>19.852940514683723</v>
      </c>
      <c r="P114" s="4">
        <v>250.35233940332552</v>
      </c>
      <c r="Q114" s="4">
        <v>45.343748003244393</v>
      </c>
      <c r="R114" s="4">
        <v>571.80010092363648</v>
      </c>
      <c r="S114" s="4">
        <v>0.31923848946227545</v>
      </c>
      <c r="T114" s="4">
        <v>4.0257060461825382</v>
      </c>
    </row>
    <row r="115" spans="1:20" x14ac:dyDescent="0.3">
      <c r="A115" s="2" t="s">
        <v>183</v>
      </c>
      <c r="B115" s="2" t="s">
        <v>2</v>
      </c>
      <c r="C115" s="2" t="s">
        <v>1</v>
      </c>
      <c r="D115" s="2">
        <v>2034</v>
      </c>
      <c r="E115" s="7">
        <v>46141</v>
      </c>
      <c r="F115" s="3">
        <v>0.61</v>
      </c>
      <c r="G115" s="3">
        <v>7.0000000000000007E-2</v>
      </c>
      <c r="H115" s="3">
        <v>3.6666666666666667E-2</v>
      </c>
      <c r="I115" s="3">
        <v>8.6233333333333331</v>
      </c>
      <c r="J115" s="6">
        <v>0.88600000000000001</v>
      </c>
      <c r="K115" s="6">
        <f>(1-Tabelle2[[#This Row],[Water Content (% of weight)]])*0.6</f>
        <v>6.8399999999999989E-2</v>
      </c>
      <c r="L115" s="6">
        <v>5.7297635170332414E-3</v>
      </c>
      <c r="M115" s="43">
        <v>31.7</v>
      </c>
      <c r="N115" s="43">
        <v>18.82</v>
      </c>
      <c r="O115" s="4">
        <v>38.161764442920685</v>
      </c>
      <c r="P115" s="4">
        <v>334.75231967474286</v>
      </c>
      <c r="Q115" s="4">
        <v>46.156250115483992</v>
      </c>
      <c r="R115" s="4">
        <v>404.87938697792981</v>
      </c>
      <c r="S115" s="4">
        <v>0.35619063698334885</v>
      </c>
      <c r="T115" s="4">
        <v>3.1244792717837622</v>
      </c>
    </row>
    <row r="116" spans="1:20" x14ac:dyDescent="0.3">
      <c r="A116" s="2" t="s">
        <v>184</v>
      </c>
      <c r="B116" s="2" t="s">
        <v>2</v>
      </c>
      <c r="C116" s="2" t="s">
        <v>1</v>
      </c>
      <c r="D116" s="2">
        <v>2034</v>
      </c>
      <c r="E116" s="7">
        <v>46141</v>
      </c>
      <c r="F116" s="3">
        <v>0.65</v>
      </c>
      <c r="G116" s="3">
        <v>0.10666666666666667</v>
      </c>
      <c r="H116" s="3">
        <v>0.03</v>
      </c>
      <c r="I116" s="3">
        <v>6.3566666666666665</v>
      </c>
      <c r="J116" s="6">
        <v>0.90410000000000001</v>
      </c>
      <c r="K116" s="6">
        <f>(1-Tabelle2[[#This Row],[Water Content (% of weight)]])*0.6</f>
        <v>5.7539999999999987E-2</v>
      </c>
      <c r="L116" s="6">
        <v>4.7704885198745269E-3</v>
      </c>
      <c r="M116" s="43">
        <v>32.549999999999997</v>
      </c>
      <c r="N116" s="43">
        <v>19.600000000000001</v>
      </c>
      <c r="O116" s="4">
        <v>40.588237757191941</v>
      </c>
      <c r="P116" s="4">
        <v>423.23501310940509</v>
      </c>
      <c r="Q116" s="4">
        <v>56.812501221895204</v>
      </c>
      <c r="R116" s="4">
        <v>592.41398562977281</v>
      </c>
      <c r="S116" s="4">
        <v>0.44389354390298186</v>
      </c>
      <c r="T116" s="4">
        <v>4.6287126580081539</v>
      </c>
    </row>
    <row r="117" spans="1:20" x14ac:dyDescent="0.3">
      <c r="A117" s="2" t="s">
        <v>185</v>
      </c>
      <c r="B117" s="2" t="s">
        <v>2</v>
      </c>
      <c r="C117" s="2" t="s">
        <v>1</v>
      </c>
      <c r="D117" s="2">
        <v>2034</v>
      </c>
      <c r="E117" s="7">
        <v>46141</v>
      </c>
      <c r="F117" s="3">
        <v>0.6</v>
      </c>
      <c r="G117" s="3">
        <v>7.0000000000000007E-2</v>
      </c>
      <c r="H117" s="3">
        <v>1.6666666666666666E-2</v>
      </c>
      <c r="I117" s="3">
        <v>8.9433333333333334</v>
      </c>
      <c r="J117" s="6">
        <v>0.90820000000000001</v>
      </c>
      <c r="K117" s="6">
        <f>(1-Tabelle2[[#This Row],[Water Content (% of weight)]])*0.6</f>
        <v>5.5079999999999997E-2</v>
      </c>
      <c r="L117" s="6">
        <v>4.7341377518618074E-3</v>
      </c>
      <c r="M117" s="43">
        <v>30.65</v>
      </c>
      <c r="N117" s="43">
        <v>16.425000000000001</v>
      </c>
      <c r="O117" s="4">
        <v>28.970588520169258</v>
      </c>
      <c r="P117" s="4">
        <v>315.58375294302027</v>
      </c>
      <c r="Q117" s="4">
        <v>54.281250283122048</v>
      </c>
      <c r="R117" s="4">
        <v>591.29902269196134</v>
      </c>
      <c r="S117" s="4">
        <v>0.41267129328739449</v>
      </c>
      <c r="T117" s="4">
        <v>4.495329992237413</v>
      </c>
    </row>
    <row r="118" spans="1:20" x14ac:dyDescent="0.3">
      <c r="A118" s="2" t="s">
        <v>186</v>
      </c>
      <c r="B118" s="2" t="s">
        <v>0</v>
      </c>
      <c r="C118" s="2" t="s">
        <v>1</v>
      </c>
      <c r="D118" s="2">
        <v>2012</v>
      </c>
      <c r="E118" s="7">
        <v>46141</v>
      </c>
      <c r="F118" s="3">
        <v>0.64</v>
      </c>
      <c r="G118" s="3">
        <v>7.3333333333333334E-2</v>
      </c>
      <c r="H118" s="3">
        <v>0.04</v>
      </c>
      <c r="I118" s="3">
        <v>8.7933333333333348</v>
      </c>
      <c r="J118" s="6">
        <v>0.94330000000000003</v>
      </c>
      <c r="K118" s="6">
        <f>(1-Tabelle2[[#This Row],[Water Content (% of weight)]])*0.6</f>
        <v>3.4019999999999981E-2</v>
      </c>
      <c r="L118" s="6">
        <v>2.757352941177143E-3</v>
      </c>
      <c r="M118" s="43">
        <v>40.549999999999997</v>
      </c>
      <c r="N118" s="43">
        <v>33.125</v>
      </c>
      <c r="O118" s="4">
        <v>23.272058516740799</v>
      </c>
      <c r="P118" s="4">
        <v>410.44194914886788</v>
      </c>
      <c r="Q118" s="4">
        <v>35.624998796731234</v>
      </c>
      <c r="R118" s="4">
        <v>628.3068570852073</v>
      </c>
      <c r="S118" s="4">
        <v>0.31046820922531093</v>
      </c>
      <c r="T118" s="4">
        <v>5.4756297923335291</v>
      </c>
    </row>
    <row r="119" spans="1:20" x14ac:dyDescent="0.3">
      <c r="A119" s="2" t="s">
        <v>187</v>
      </c>
      <c r="B119" s="2" t="s">
        <v>0</v>
      </c>
      <c r="C119" s="2" t="s">
        <v>1</v>
      </c>
      <c r="D119" s="2">
        <v>2012</v>
      </c>
      <c r="E119" s="7">
        <v>46141</v>
      </c>
      <c r="F119" s="3">
        <v>0.57666666666666666</v>
      </c>
      <c r="G119" s="3">
        <v>0.10666666666666667</v>
      </c>
      <c r="H119" s="3">
        <v>4.3333333333333335E-2</v>
      </c>
      <c r="I119" s="3">
        <v>5.3166666666666664</v>
      </c>
      <c r="J119" s="6">
        <v>0.94879999999999998</v>
      </c>
      <c r="K119" s="6">
        <f>(1-Tabelle2[[#This Row],[Water Content (% of weight)]])*0.6</f>
        <v>3.0720000000000011E-2</v>
      </c>
      <c r="L119" s="6">
        <v>2.5012118274347658E-3</v>
      </c>
      <c r="M119" s="43">
        <v>41.025000000000006</v>
      </c>
      <c r="N119" s="43">
        <v>33.42</v>
      </c>
      <c r="O119" s="4">
        <v>25.698529091828011</v>
      </c>
      <c r="P119" s="4">
        <v>501.92439632476561</v>
      </c>
      <c r="Q119" s="4">
        <v>41.968749079853289</v>
      </c>
      <c r="R119" s="4">
        <v>819.70213046588424</v>
      </c>
      <c r="S119" s="4">
        <v>0.31970624610557924</v>
      </c>
      <c r="T119" s="4">
        <v>6.244262619249592</v>
      </c>
    </row>
    <row r="120" spans="1:20" x14ac:dyDescent="0.3">
      <c r="A120" s="2" t="s">
        <v>188</v>
      </c>
      <c r="B120" s="2" t="s">
        <v>0</v>
      </c>
      <c r="C120" s="2" t="s">
        <v>1</v>
      </c>
      <c r="D120" s="2">
        <v>2012</v>
      </c>
      <c r="E120" s="7">
        <v>46141</v>
      </c>
      <c r="F120" s="3">
        <v>0.78666666666666674</v>
      </c>
      <c r="G120" s="3">
        <v>8.666666666666667E-2</v>
      </c>
      <c r="H120" s="3">
        <v>0.04</v>
      </c>
      <c r="I120" s="3">
        <v>9.3433333333333337</v>
      </c>
      <c r="J120" s="6">
        <v>0.93920000000000003</v>
      </c>
      <c r="K120" s="6">
        <f>(1-Tabelle2[[#This Row],[Water Content (% of weight)]])*0.6</f>
        <v>3.6479999999999978E-2</v>
      </c>
      <c r="L120" s="6">
        <v>3.3792565635559564E-3</v>
      </c>
      <c r="M120" s="43">
        <v>42.05</v>
      </c>
      <c r="N120" s="43">
        <v>34.590000000000003</v>
      </c>
      <c r="O120" s="4">
        <v>39.044115885215646</v>
      </c>
      <c r="P120" s="4">
        <v>642.17295863841559</v>
      </c>
      <c r="Q120" s="4">
        <v>48.593747138977044</v>
      </c>
      <c r="R120" s="4">
        <v>799.23926215422819</v>
      </c>
      <c r="S120" s="4">
        <v>0.32871036981419993</v>
      </c>
      <c r="T120" s="4">
        <v>5.4064205561546075</v>
      </c>
    </row>
    <row r="121" spans="1:20" x14ac:dyDescent="0.3">
      <c r="A121" s="2" t="s">
        <v>189</v>
      </c>
      <c r="B121" s="2" t="s">
        <v>0</v>
      </c>
      <c r="C121" s="2" t="s">
        <v>1</v>
      </c>
      <c r="D121" s="2">
        <v>2012</v>
      </c>
      <c r="E121" s="7">
        <v>46141</v>
      </c>
      <c r="F121" s="3">
        <v>0.52666666666666673</v>
      </c>
      <c r="G121" s="3">
        <v>8.666666666666667E-2</v>
      </c>
      <c r="H121" s="3">
        <v>2.3333333333333331E-2</v>
      </c>
      <c r="I121" s="3">
        <v>5.9899999999999993</v>
      </c>
      <c r="J121" s="6">
        <v>0.94320000000000004</v>
      </c>
      <c r="K121" s="6">
        <f>(1-Tabelle2[[#This Row],[Water Content (% of weight)]])*0.6</f>
        <v>3.4079999999999978E-2</v>
      </c>
      <c r="L121" s="6">
        <v>3.0864197530865367E-3</v>
      </c>
      <c r="M121" s="43">
        <v>39.799999999999997</v>
      </c>
      <c r="N121" s="43">
        <v>30.055</v>
      </c>
      <c r="O121" s="4">
        <v>19.963236499358626</v>
      </c>
      <c r="P121" s="4">
        <v>351.46543132673662</v>
      </c>
      <c r="Q121" s="4">
        <v>34.593749966472387</v>
      </c>
      <c r="R121" s="4">
        <v>609.04489377592267</v>
      </c>
      <c r="S121" s="4">
        <v>0.28415729881442564</v>
      </c>
      <c r="T121" s="4">
        <v>5.0027693453243982</v>
      </c>
    </row>
    <row r="122" spans="1:20" x14ac:dyDescent="0.3">
      <c r="A122" s="2" t="s">
        <v>190</v>
      </c>
      <c r="B122" s="2" t="s">
        <v>2</v>
      </c>
      <c r="C122" s="2" t="s">
        <v>1</v>
      </c>
      <c r="D122" s="2">
        <v>2034</v>
      </c>
      <c r="E122" s="7">
        <v>46168</v>
      </c>
      <c r="F122" s="3">
        <v>0.44</v>
      </c>
      <c r="G122" s="3">
        <v>0.21666666666666667</v>
      </c>
      <c r="H122" s="3">
        <v>7.6666666666666675E-2</v>
      </c>
      <c r="I122" s="3">
        <v>2.9966666666666661</v>
      </c>
      <c r="J122" s="6">
        <v>0.91739999999999999</v>
      </c>
      <c r="K122" s="6">
        <f>(1-Tabelle2[[#This Row],[Water Content (% of weight)]])*0.6</f>
        <v>4.956E-2</v>
      </c>
      <c r="L122" s="6">
        <v>4.8598575764180257E-3</v>
      </c>
      <c r="M122" s="43">
        <v>32.274999999999999</v>
      </c>
      <c r="N122" s="43">
        <v>19.515000000000001</v>
      </c>
      <c r="O122" s="4">
        <v>61.336207939633013</v>
      </c>
      <c r="P122" s="4">
        <v>742.56910338538751</v>
      </c>
      <c r="Q122" s="4">
        <v>52.031250908970819</v>
      </c>
      <c r="R122" s="4">
        <v>629.91829187615997</v>
      </c>
      <c r="S122" s="4">
        <v>0.36464714014394278</v>
      </c>
      <c r="T122" s="4">
        <v>4.4146142874569341</v>
      </c>
    </row>
    <row r="123" spans="1:20" x14ac:dyDescent="0.3">
      <c r="A123" s="2" t="s">
        <v>191</v>
      </c>
      <c r="B123" s="2" t="s">
        <v>2</v>
      </c>
      <c r="C123" s="2" t="s">
        <v>1</v>
      </c>
      <c r="D123" s="2">
        <v>2034</v>
      </c>
      <c r="E123" s="7">
        <v>46168</v>
      </c>
      <c r="F123" s="3">
        <v>0.6166666666666667</v>
      </c>
      <c r="G123" s="3">
        <v>0.15333333333333332</v>
      </c>
      <c r="H123" s="3">
        <v>0.02</v>
      </c>
      <c r="I123" s="3">
        <v>4.3466666666666667</v>
      </c>
      <c r="J123" s="6">
        <v>0.91710000000000003</v>
      </c>
      <c r="K123" s="6">
        <f>(1-Tabelle2[[#This Row],[Water Content (% of weight)]])*0.6</f>
        <v>4.9739999999999986E-2</v>
      </c>
      <c r="L123" s="6">
        <v>5.5667439297790808E-3</v>
      </c>
      <c r="M123" s="43">
        <v>30.824999999999999</v>
      </c>
      <c r="N123" s="43">
        <v>17.274999999999999</v>
      </c>
      <c r="O123" s="4">
        <v>70.129309296607985</v>
      </c>
      <c r="P123" s="4">
        <v>845.95065496511472</v>
      </c>
      <c r="Q123" s="4">
        <v>45.562498509883874</v>
      </c>
      <c r="R123" s="4">
        <v>549.60794342441363</v>
      </c>
      <c r="S123" s="4">
        <v>0.35286914327305707</v>
      </c>
      <c r="T123" s="4">
        <v>4.256563851303464</v>
      </c>
    </row>
    <row r="124" spans="1:20" x14ac:dyDescent="0.3">
      <c r="A124" s="2" t="s">
        <v>192</v>
      </c>
      <c r="B124" s="2" t="s">
        <v>2</v>
      </c>
      <c r="C124" s="2" t="s">
        <v>1</v>
      </c>
      <c r="D124" s="2">
        <v>2034</v>
      </c>
      <c r="E124" s="7">
        <v>46168</v>
      </c>
      <c r="F124" s="3">
        <v>0.65333333333333332</v>
      </c>
      <c r="G124" s="3">
        <v>0.12333333333333334</v>
      </c>
      <c r="H124" s="3">
        <v>2.6666666666666668E-2</v>
      </c>
      <c r="I124" s="3">
        <v>5.6099999999999994</v>
      </c>
      <c r="J124" s="6">
        <v>0.91469999999999996</v>
      </c>
      <c r="K124" s="6">
        <f>(1-Tabelle2[[#This Row],[Water Content (% of weight)]])*0.6</f>
        <v>5.1180000000000024E-2</v>
      </c>
      <c r="L124" s="6">
        <v>5.8058601840229448E-3</v>
      </c>
      <c r="M124" s="43">
        <v>31.2</v>
      </c>
      <c r="N124" s="43">
        <v>17.940000000000001</v>
      </c>
      <c r="O124" s="4">
        <v>58.620686479683592</v>
      </c>
      <c r="P124" s="4">
        <v>687.22961875361739</v>
      </c>
      <c r="Q124" s="4">
        <v>48.499997012317174</v>
      </c>
      <c r="R124" s="4">
        <v>568.58144211391732</v>
      </c>
      <c r="S124" s="4">
        <v>0.31647506133557318</v>
      </c>
      <c r="T124" s="4">
        <v>3.7101413990102348</v>
      </c>
    </row>
    <row r="125" spans="1:20" x14ac:dyDescent="0.3">
      <c r="A125" s="2" t="s">
        <v>193</v>
      </c>
      <c r="B125" s="2" t="s">
        <v>2</v>
      </c>
      <c r="C125" s="2" t="s">
        <v>1</v>
      </c>
      <c r="D125" s="2">
        <v>2034</v>
      </c>
      <c r="E125" s="7">
        <v>46168</v>
      </c>
      <c r="F125" s="3">
        <v>0.57666666666666666</v>
      </c>
      <c r="G125" s="3">
        <v>0.12666666666666668</v>
      </c>
      <c r="H125" s="3">
        <v>2.3333333333333334E-2</v>
      </c>
      <c r="I125" s="3">
        <v>4.9200000000000008</v>
      </c>
      <c r="J125" s="6">
        <v>0.90739999999999998</v>
      </c>
      <c r="K125" s="6">
        <f>(1-Tabelle2[[#This Row],[Water Content (% of weight)]])*0.6</f>
        <v>5.5560000000000005E-2</v>
      </c>
      <c r="L125" s="6">
        <v>5.8684156846743503E-3</v>
      </c>
      <c r="M125" s="43">
        <v>31.875</v>
      </c>
      <c r="N125" s="43">
        <v>19.844999999999999</v>
      </c>
      <c r="O125" s="4">
        <v>70.21551765244584</v>
      </c>
      <c r="P125" s="4">
        <v>758.26692929207161</v>
      </c>
      <c r="Q125" s="4">
        <v>49.18749933689832</v>
      </c>
      <c r="R125" s="4">
        <v>531.18249823864267</v>
      </c>
      <c r="S125" s="4">
        <v>0.38007632868123498</v>
      </c>
      <c r="T125" s="4">
        <v>4.1044959900781306</v>
      </c>
    </row>
    <row r="126" spans="1:20" x14ac:dyDescent="0.3">
      <c r="A126" s="2" t="s">
        <v>194</v>
      </c>
      <c r="B126" s="2" t="s">
        <v>0</v>
      </c>
      <c r="C126" s="2" t="s">
        <v>1</v>
      </c>
      <c r="D126" s="2">
        <v>2012</v>
      </c>
      <c r="E126" s="7">
        <v>46168</v>
      </c>
      <c r="F126" s="3">
        <v>0.54999999999999993</v>
      </c>
      <c r="G126" s="3">
        <v>0.12</v>
      </c>
      <c r="H126" s="3">
        <v>2.3333333333333334E-2</v>
      </c>
      <c r="I126" s="3">
        <v>4.8166666666666664</v>
      </c>
      <c r="J126" s="6">
        <v>0.94430000000000003</v>
      </c>
      <c r="K126" s="6">
        <f>(1-Tabelle2[[#This Row],[Water Content (% of weight)]])*0.6</f>
        <v>3.3419999999999984E-2</v>
      </c>
      <c r="L126" s="6">
        <v>3.4715334259076895E-3</v>
      </c>
      <c r="M126" s="43">
        <v>44.325000000000003</v>
      </c>
      <c r="N126" s="43">
        <v>39.61</v>
      </c>
      <c r="O126" s="4">
        <v>37.931034338885347</v>
      </c>
      <c r="P126" s="4">
        <v>680.98804917208918</v>
      </c>
      <c r="Q126" s="4">
        <v>34.53125036880374</v>
      </c>
      <c r="R126" s="4">
        <v>619.95063498750017</v>
      </c>
      <c r="S126" s="4">
        <v>0.24062470392110186</v>
      </c>
      <c r="T126" s="4">
        <v>4.3200126377217591</v>
      </c>
    </row>
    <row r="127" spans="1:20" x14ac:dyDescent="0.3">
      <c r="A127" s="2" t="s">
        <v>195</v>
      </c>
      <c r="B127" s="2" t="s">
        <v>0</v>
      </c>
      <c r="C127" s="2" t="s">
        <v>1</v>
      </c>
      <c r="D127" s="2">
        <v>2012</v>
      </c>
      <c r="E127" s="7">
        <v>46168</v>
      </c>
      <c r="F127" s="3">
        <v>0.54333333333333333</v>
      </c>
      <c r="G127" s="3">
        <v>7.333333333333332E-2</v>
      </c>
      <c r="H127" s="3">
        <v>4.3333333333333335E-2</v>
      </c>
      <c r="I127" s="3">
        <v>8.8133333333333344</v>
      </c>
      <c r="J127" s="6">
        <v>0.94159999999999999</v>
      </c>
      <c r="K127" s="6">
        <f>(1-Tabelle2[[#This Row],[Water Content (% of weight)]])*0.6</f>
        <v>3.5040000000000002E-2</v>
      </c>
      <c r="L127" s="6">
        <v>4.6429599769645686E-3</v>
      </c>
      <c r="M127" s="43">
        <v>42.575000000000003</v>
      </c>
      <c r="N127" s="43">
        <v>35.915000000000006</v>
      </c>
      <c r="O127" s="4">
        <v>38.1034478391039</v>
      </c>
      <c r="P127" s="4">
        <v>652.45629861479267</v>
      </c>
      <c r="Q127" s="4">
        <v>35.937500890344381</v>
      </c>
      <c r="R127" s="4">
        <v>615.36816593055437</v>
      </c>
      <c r="S127" s="4">
        <v>0.26524075388650054</v>
      </c>
      <c r="T127" s="4">
        <v>4.5417937309332279</v>
      </c>
    </row>
    <row r="128" spans="1:20" x14ac:dyDescent="0.3">
      <c r="A128" s="2" t="s">
        <v>196</v>
      </c>
      <c r="B128" s="2" t="s">
        <v>0</v>
      </c>
      <c r="C128" s="2" t="s">
        <v>1</v>
      </c>
      <c r="D128" s="2">
        <v>2012</v>
      </c>
      <c r="E128" s="7">
        <v>46168</v>
      </c>
      <c r="F128" s="3">
        <v>0.70666666666666667</v>
      </c>
      <c r="G128" s="3">
        <v>0.10999999999999999</v>
      </c>
      <c r="H128" s="3">
        <v>2.3333333333333334E-2</v>
      </c>
      <c r="I128" s="3">
        <v>6.956666666666667</v>
      </c>
      <c r="J128" s="6">
        <v>0.93859999999999999</v>
      </c>
      <c r="K128" s="6">
        <f>(1-Tabelle2[[#This Row],[Water Content (% of weight)]])*0.6</f>
        <v>3.6840000000000005E-2</v>
      </c>
      <c r="L128" s="6">
        <v>3.8015019659732394E-3</v>
      </c>
      <c r="M128" s="43">
        <v>40.849999999999994</v>
      </c>
      <c r="N128" s="43">
        <v>33.35</v>
      </c>
      <c r="O128" s="4">
        <v>36.422413803380117</v>
      </c>
      <c r="P128" s="4">
        <v>593.19892187915491</v>
      </c>
      <c r="Q128" s="4">
        <v>34.499999839812517</v>
      </c>
      <c r="R128" s="4">
        <v>561.88924820541547</v>
      </c>
      <c r="S128" s="4">
        <v>0.30057474449915778</v>
      </c>
      <c r="T128" s="4">
        <v>4.8953541449374223</v>
      </c>
    </row>
    <row r="129" spans="1:20" x14ac:dyDescent="0.3">
      <c r="A129" s="2" t="s">
        <v>197</v>
      </c>
      <c r="B129" s="2" t="s">
        <v>0</v>
      </c>
      <c r="C129" s="2" t="s">
        <v>1</v>
      </c>
      <c r="D129" s="2">
        <v>2012</v>
      </c>
      <c r="E129" s="7">
        <v>46168</v>
      </c>
      <c r="F129" s="3">
        <v>0.57333333333333336</v>
      </c>
      <c r="G129" s="3">
        <v>7.0000000000000007E-2</v>
      </c>
      <c r="H129" s="3">
        <v>0.04</v>
      </c>
      <c r="I129" s="3">
        <v>8.5833333333333339</v>
      </c>
      <c r="J129" s="6">
        <v>0.93940000000000001</v>
      </c>
      <c r="K129" s="6">
        <f>(1-Tabelle2[[#This Row],[Water Content (% of weight)]])*0.6</f>
        <v>3.635999999999999E-2</v>
      </c>
      <c r="L129" s="6">
        <v>4.7474196894837662E-3</v>
      </c>
      <c r="M129" s="43">
        <v>42.024999999999999</v>
      </c>
      <c r="N129" s="43">
        <v>35.799999999999997</v>
      </c>
      <c r="O129" s="4">
        <v>32.629310375657582</v>
      </c>
      <c r="P129" s="4">
        <v>538.43746494484469</v>
      </c>
      <c r="Q129" s="4">
        <v>31.031249329447739</v>
      </c>
      <c r="R129" s="4">
        <v>512.06682061794959</v>
      </c>
      <c r="S129" s="4">
        <v>0.21600865395570321</v>
      </c>
      <c r="T129" s="4">
        <v>3.5644992401931228</v>
      </c>
    </row>
  </sheetData>
  <phoneticPr fontId="3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D855-F2BC-46B5-AC31-8CFD3E7B13FD}">
  <dimension ref="A1:T22"/>
  <sheetViews>
    <sheetView zoomScale="85" zoomScaleNormal="85" workbookViewId="0">
      <pane ySplit="2" topLeftCell="A9" activePane="bottomLeft" state="frozen"/>
      <selection pane="bottomLeft" activeCell="L17" sqref="L17"/>
    </sheetView>
  </sheetViews>
  <sheetFormatPr baseColWidth="10" defaultRowHeight="14.4" x14ac:dyDescent="0.3"/>
  <cols>
    <col min="1" max="1" width="11.5546875" customWidth="1"/>
    <col min="2" max="2" width="14.21875" bestFit="1" customWidth="1"/>
    <col min="3" max="3" width="14.5546875" customWidth="1"/>
    <col min="4" max="4" width="13.6640625" bestFit="1" customWidth="1"/>
    <col min="5" max="5" width="11.77734375" bestFit="1" customWidth="1"/>
    <col min="6" max="6" width="22.109375" bestFit="1" customWidth="1"/>
    <col min="7" max="7" width="15.5546875" bestFit="1" customWidth="1"/>
    <col min="8" max="8" width="15.5546875" customWidth="1"/>
    <col min="9" max="9" width="7.21875" customWidth="1"/>
    <col min="11" max="11" width="14.33203125" bestFit="1" customWidth="1"/>
    <col min="12" max="12" width="13" bestFit="1" customWidth="1"/>
    <col min="13" max="13" width="22.109375" bestFit="1" customWidth="1"/>
    <col min="14" max="14" width="11.33203125" bestFit="1" customWidth="1"/>
    <col min="15" max="15" width="11.109375" bestFit="1" customWidth="1"/>
    <col min="16" max="16" width="12.88671875" bestFit="1" customWidth="1"/>
    <col min="17" max="17" width="12.5546875" bestFit="1" customWidth="1"/>
    <col min="18" max="18" width="17" bestFit="1" customWidth="1"/>
    <col min="19" max="19" width="11.77734375" bestFit="1" customWidth="1"/>
  </cols>
  <sheetData>
    <row r="1" spans="1:20" ht="15" thickBot="1" x14ac:dyDescent="0.35">
      <c r="B1" s="47" t="s">
        <v>138</v>
      </c>
      <c r="C1" s="47"/>
      <c r="D1" s="47"/>
      <c r="E1" s="47"/>
      <c r="F1" s="47"/>
      <c r="G1" s="47"/>
      <c r="H1" s="32"/>
      <c r="I1" s="35"/>
    </row>
    <row r="2" spans="1:20" x14ac:dyDescent="0.3">
      <c r="A2" s="26" t="s">
        <v>11</v>
      </c>
      <c r="B2" s="30" t="s">
        <v>140</v>
      </c>
      <c r="C2" s="31" t="s">
        <v>142</v>
      </c>
      <c r="D2" s="30" t="s">
        <v>139</v>
      </c>
      <c r="E2" s="31" t="s">
        <v>141</v>
      </c>
      <c r="F2" s="30" t="s">
        <v>146</v>
      </c>
      <c r="G2" s="38" t="s">
        <v>147</v>
      </c>
      <c r="H2" s="37" t="s">
        <v>148</v>
      </c>
      <c r="I2" s="36"/>
      <c r="K2" s="30" t="s">
        <v>140</v>
      </c>
      <c r="L2" s="31" t="s">
        <v>142</v>
      </c>
      <c r="M2" s="30" t="s">
        <v>146</v>
      </c>
      <c r="N2" s="38" t="s">
        <v>147</v>
      </c>
      <c r="O2" s="37" t="s">
        <v>148</v>
      </c>
      <c r="P2" s="30" t="s">
        <v>139</v>
      </c>
      <c r="Q2" s="31" t="s">
        <v>141</v>
      </c>
      <c r="R2" s="30" t="s">
        <v>144</v>
      </c>
      <c r="S2" s="31" t="s">
        <v>145</v>
      </c>
    </row>
    <row r="3" spans="1:20" s="27" customFormat="1" x14ac:dyDescent="0.3">
      <c r="A3" s="11" t="s">
        <v>136</v>
      </c>
      <c r="B3" s="28"/>
      <c r="C3" s="28"/>
      <c r="D3" s="28"/>
      <c r="E3" s="28"/>
      <c r="F3" s="28"/>
      <c r="G3" s="28"/>
      <c r="H3" s="28"/>
      <c r="I3" s="28"/>
      <c r="J3" s="11" t="s">
        <v>143</v>
      </c>
      <c r="T3"/>
    </row>
    <row r="4" spans="1:20" x14ac:dyDescent="0.3">
      <c r="A4" s="24">
        <v>46072</v>
      </c>
      <c r="B4" s="29">
        <v>14.134541527313305</v>
      </c>
      <c r="C4" s="29">
        <v>6.3913018864476898</v>
      </c>
      <c r="D4" s="29">
        <v>88.018143812708956</v>
      </c>
      <c r="E4" s="29">
        <v>11.156721245255534</v>
      </c>
      <c r="F4" s="41">
        <v>131070000</v>
      </c>
      <c r="G4" s="25">
        <v>9437040</v>
      </c>
      <c r="H4" s="25">
        <v>9174900</v>
      </c>
      <c r="I4" s="33"/>
      <c r="J4" s="24">
        <v>46072</v>
      </c>
      <c r="K4" s="29">
        <v>3.6070228056024245</v>
      </c>
      <c r="L4" s="29">
        <v>3.7697663617600679</v>
      </c>
      <c r="M4" s="39">
        <v>23168185</v>
      </c>
      <c r="N4" s="39">
        <v>3564265</v>
      </c>
      <c r="O4" s="39">
        <v>383055</v>
      </c>
      <c r="P4" s="29">
        <v>81.050729632617163</v>
      </c>
      <c r="Q4" s="29">
        <v>6.8528274566633813</v>
      </c>
      <c r="R4" s="29">
        <v>995.11935176359179</v>
      </c>
      <c r="S4" s="29">
        <v>12.815336344472456</v>
      </c>
    </row>
    <row r="5" spans="1:20" x14ac:dyDescent="0.3">
      <c r="A5" s="24">
        <v>46086</v>
      </c>
      <c r="B5" s="29">
        <v>15.386133180544901</v>
      </c>
      <c r="C5" s="29">
        <v>6.2005073265969948</v>
      </c>
      <c r="D5" s="29">
        <v>85.978138528138615</v>
      </c>
      <c r="E5" s="29">
        <v>12.928077727681959</v>
      </c>
      <c r="F5" s="41">
        <v>130480185</v>
      </c>
      <c r="G5" s="25">
        <v>9437040</v>
      </c>
      <c r="H5" s="25">
        <v>8781690</v>
      </c>
      <c r="I5" s="33"/>
      <c r="J5" s="24">
        <v>46086</v>
      </c>
      <c r="K5" s="29">
        <v>5.8419471880669445</v>
      </c>
      <c r="L5" s="29">
        <v>4.7413515051707051</v>
      </c>
      <c r="M5" s="39">
        <v>44246530</v>
      </c>
      <c r="N5" s="39">
        <v>5603405</v>
      </c>
      <c r="O5" s="39">
        <v>689695</v>
      </c>
      <c r="P5" s="29">
        <v>80.069636498018397</v>
      </c>
      <c r="Q5" s="29">
        <v>8.9538053853353645</v>
      </c>
      <c r="R5" s="29">
        <v>995.40325875160227</v>
      </c>
      <c r="S5" s="29">
        <v>11.550210563160551</v>
      </c>
    </row>
    <row r="6" spans="1:20" x14ac:dyDescent="0.3">
      <c r="A6" s="24">
        <v>46100</v>
      </c>
      <c r="B6" s="29">
        <v>16.456843617286999</v>
      </c>
      <c r="C6" s="29">
        <v>6.2463233181932889</v>
      </c>
      <c r="D6" s="29">
        <v>84.007569323007459</v>
      </c>
      <c r="E6" s="29">
        <v>15.195243516359321</v>
      </c>
      <c r="F6" s="41">
        <v>131528745</v>
      </c>
      <c r="G6" s="25">
        <v>9437040</v>
      </c>
      <c r="H6" s="25">
        <v>9305970</v>
      </c>
      <c r="I6" s="33"/>
      <c r="J6" s="24">
        <v>46100</v>
      </c>
      <c r="K6" s="29">
        <v>7.2302338677619939</v>
      </c>
      <c r="L6" s="29">
        <v>4.7526339673845177</v>
      </c>
      <c r="M6" s="39">
        <v>53970365</v>
      </c>
      <c r="N6" s="39">
        <v>6775915</v>
      </c>
      <c r="O6" s="39">
        <v>1067565</v>
      </c>
      <c r="P6" s="29">
        <v>77.018179409036918</v>
      </c>
      <c r="Q6" s="29">
        <v>11.584998054487885</v>
      </c>
      <c r="R6" s="29">
        <v>996.83261560886058</v>
      </c>
      <c r="S6" s="29">
        <v>11.833743860155524</v>
      </c>
    </row>
    <row r="7" spans="1:20" x14ac:dyDescent="0.3">
      <c r="A7" s="24">
        <v>46114</v>
      </c>
      <c r="B7" s="29">
        <v>17.800561601000599</v>
      </c>
      <c r="C7" s="29">
        <v>6.1482396818676319</v>
      </c>
      <c r="D7" s="29">
        <v>80.764352720450361</v>
      </c>
      <c r="E7" s="29">
        <v>17.236824784806934</v>
      </c>
      <c r="F7" s="41">
        <v>130873395</v>
      </c>
      <c r="G7" s="25">
        <v>9437040</v>
      </c>
      <c r="H7" s="25">
        <v>9043830</v>
      </c>
      <c r="I7" s="33"/>
      <c r="J7" s="24">
        <v>46114</v>
      </c>
      <c r="K7" s="29">
        <v>8.6893672391016956</v>
      </c>
      <c r="L7" s="29">
        <v>4.3197228152989426</v>
      </c>
      <c r="M7" s="39">
        <v>72579460</v>
      </c>
      <c r="N7" s="39">
        <v>8354470</v>
      </c>
      <c r="O7" s="39">
        <v>2729965</v>
      </c>
      <c r="P7" s="29">
        <v>72.770442536327835</v>
      </c>
      <c r="Q7" s="29">
        <v>13.621720974952693</v>
      </c>
      <c r="R7" s="29">
        <v>1001.8543328930037</v>
      </c>
      <c r="S7" s="29">
        <v>11.298123647776569</v>
      </c>
    </row>
    <row r="8" spans="1:20" x14ac:dyDescent="0.3">
      <c r="A8" s="24">
        <v>46128</v>
      </c>
      <c r="B8" s="29">
        <v>19.0272073536769</v>
      </c>
      <c r="C8" s="29">
        <v>6.234929639521142</v>
      </c>
      <c r="D8" s="29">
        <v>77.54783641820913</v>
      </c>
      <c r="E8" s="29">
        <v>19.070251915976716</v>
      </c>
      <c r="F8" s="41">
        <v>131070000</v>
      </c>
      <c r="G8" s="25">
        <v>9437040</v>
      </c>
      <c r="H8" s="25">
        <v>9240435</v>
      </c>
      <c r="I8" s="33"/>
      <c r="J8" s="24">
        <v>46128</v>
      </c>
      <c r="K8" s="29">
        <v>10.308315879602159</v>
      </c>
      <c r="L8" s="29">
        <v>4.0492503850884933</v>
      </c>
      <c r="M8" s="39">
        <v>79431945</v>
      </c>
      <c r="N8" s="39">
        <v>8901775</v>
      </c>
      <c r="O8" s="39">
        <v>1670910</v>
      </c>
      <c r="P8" s="29">
        <v>67.640196272146383</v>
      </c>
      <c r="Q8" s="29">
        <v>14.438360023458188</v>
      </c>
      <c r="R8" s="29">
        <v>1006.871830336564</v>
      </c>
      <c r="S8" s="29">
        <v>5.7653339327002442</v>
      </c>
    </row>
    <row r="9" spans="1:20" x14ac:dyDescent="0.3">
      <c r="A9" s="24">
        <v>46141</v>
      </c>
      <c r="B9" s="29">
        <v>19.839576228047743</v>
      </c>
      <c r="C9" s="29">
        <v>6.809783888679573</v>
      </c>
      <c r="D9" s="29">
        <v>74.027678798676433</v>
      </c>
      <c r="E9" s="29">
        <v>21.045842222289799</v>
      </c>
      <c r="F9" s="41">
        <v>121436355</v>
      </c>
      <c r="G9" s="25">
        <v>9437040</v>
      </c>
      <c r="H9" s="25">
        <v>9240435</v>
      </c>
      <c r="I9" s="33"/>
      <c r="J9" s="24">
        <v>46141</v>
      </c>
      <c r="K9" s="29">
        <v>10.813671906220886</v>
      </c>
      <c r="L9" s="29">
        <v>4.0856662840635085</v>
      </c>
      <c r="M9" s="39">
        <v>97807050</v>
      </c>
      <c r="N9" s="39">
        <v>9924285</v>
      </c>
      <c r="O9" s="39">
        <v>5166015</v>
      </c>
      <c r="P9" s="29">
        <v>63.968216331424003</v>
      </c>
      <c r="Q9" s="29">
        <v>15.133996873784202</v>
      </c>
      <c r="R9" s="29">
        <v>1007.7101039030211</v>
      </c>
      <c r="S9" s="29">
        <v>5.4887558610743685</v>
      </c>
    </row>
    <row r="10" spans="1:20" x14ac:dyDescent="0.3">
      <c r="A10" s="24">
        <v>46168</v>
      </c>
      <c r="B10" s="29">
        <v>21.473606557377082</v>
      </c>
      <c r="C10" s="29">
        <v>7.4089999803119087</v>
      </c>
      <c r="D10" s="29">
        <v>70.896521086222108</v>
      </c>
      <c r="E10" s="29">
        <v>22.640030679024981</v>
      </c>
      <c r="F10" s="41">
        <v>130873395</v>
      </c>
      <c r="G10" s="25">
        <v>9502575</v>
      </c>
      <c r="H10" s="25">
        <v>9174900</v>
      </c>
      <c r="J10" s="24">
        <v>46168</v>
      </c>
      <c r="K10" s="29">
        <v>13.164803590010399</v>
      </c>
      <c r="L10" s="29">
        <v>4.9350548462407815</v>
      </c>
      <c r="M10" s="39">
        <v>103468709</v>
      </c>
      <c r="N10" s="39">
        <v>11755385</v>
      </c>
      <c r="O10" s="39">
        <v>3348325</v>
      </c>
      <c r="P10" s="29">
        <v>63.679428980228799</v>
      </c>
      <c r="Q10" s="29">
        <v>17.049208251671985</v>
      </c>
      <c r="R10" s="29">
        <v>1006.8876170655531</v>
      </c>
      <c r="S10" s="29">
        <v>7.2462350296292604</v>
      </c>
    </row>
    <row r="11" spans="1:20" x14ac:dyDescent="0.3">
      <c r="A11" s="23"/>
    </row>
    <row r="12" spans="1:20" x14ac:dyDescent="0.3">
      <c r="A12" s="11" t="s">
        <v>137</v>
      </c>
    </row>
    <row r="13" spans="1:20" x14ac:dyDescent="0.3">
      <c r="A13" s="24">
        <v>46072</v>
      </c>
      <c r="B13" s="29">
        <v>19.827444693363201</v>
      </c>
      <c r="C13" s="29">
        <v>3.0144179994349121</v>
      </c>
      <c r="D13" s="29">
        <v>76.713217586110247</v>
      </c>
      <c r="E13" s="29">
        <v>7.3510651498737678</v>
      </c>
      <c r="F13" s="42">
        <v>5948390</v>
      </c>
      <c r="G13" s="25">
        <v>543539</v>
      </c>
      <c r="H13" s="40">
        <v>319399</v>
      </c>
      <c r="I13" s="34"/>
    </row>
    <row r="14" spans="1:20" x14ac:dyDescent="0.3">
      <c r="A14" s="24">
        <v>46086</v>
      </c>
      <c r="B14" s="29">
        <v>19.9530237608585</v>
      </c>
      <c r="C14" s="29">
        <v>3.096321241251343</v>
      </c>
      <c r="D14" s="29">
        <v>75.974642309657582</v>
      </c>
      <c r="E14" s="29">
        <v>8.7229478622201082</v>
      </c>
      <c r="F14" s="41">
        <v>5415085</v>
      </c>
      <c r="G14" s="25">
        <v>551693</v>
      </c>
      <c r="H14" s="25">
        <v>216942</v>
      </c>
    </row>
    <row r="15" spans="1:20" x14ac:dyDescent="0.3">
      <c r="A15" s="24">
        <v>46100</v>
      </c>
      <c r="B15" s="29">
        <v>19.970165704242962</v>
      </c>
      <c r="C15" s="29">
        <v>3.2462205129183674</v>
      </c>
      <c r="D15" s="29">
        <v>75.400112980165815</v>
      </c>
      <c r="E15" s="29">
        <v>10.350280070558666</v>
      </c>
      <c r="F15" s="41">
        <v>4868457</v>
      </c>
      <c r="G15" s="25">
        <v>705042</v>
      </c>
      <c r="H15" s="25">
        <v>110448</v>
      </c>
    </row>
    <row r="16" spans="1:20" x14ac:dyDescent="0.3">
      <c r="A16" s="24">
        <v>46114</v>
      </c>
      <c r="B16" s="29">
        <v>20.051313346713499</v>
      </c>
      <c r="C16" s="29">
        <v>3.5449993466131828</v>
      </c>
      <c r="D16" s="29">
        <v>74.025664826894086</v>
      </c>
      <c r="E16" s="29">
        <v>12.438674805183723</v>
      </c>
      <c r="F16" s="42">
        <v>8282324</v>
      </c>
      <c r="G16" s="25">
        <v>857363</v>
      </c>
      <c r="H16" s="40">
        <v>403160</v>
      </c>
    </row>
    <row r="17" spans="1:8" x14ac:dyDescent="0.3">
      <c r="A17" s="24">
        <v>46128</v>
      </c>
      <c r="B17" s="29">
        <v>20.196203784935399</v>
      </c>
      <c r="C17" s="29">
        <v>4.1049859702654823</v>
      </c>
      <c r="D17" s="29">
        <v>72.565547061035005</v>
      </c>
      <c r="E17" s="29">
        <v>14.806146876231644</v>
      </c>
      <c r="F17" s="42">
        <v>9408341</v>
      </c>
      <c r="G17" s="25">
        <v>907905</v>
      </c>
      <c r="H17" s="40">
        <v>260026</v>
      </c>
    </row>
    <row r="18" spans="1:8" x14ac:dyDescent="0.3">
      <c r="A18" s="24">
        <v>46141</v>
      </c>
      <c r="B18" s="29">
        <v>20.442760204081608</v>
      </c>
      <c r="C18" s="29">
        <v>4.7553799407686999</v>
      </c>
      <c r="D18" s="29">
        <v>70.037461734693977</v>
      </c>
      <c r="E18" s="29">
        <v>17.176672101538593</v>
      </c>
      <c r="F18" s="42">
        <v>10944235</v>
      </c>
      <c r="G18" s="25">
        <v>1033377</v>
      </c>
      <c r="H18" s="40">
        <v>591370</v>
      </c>
    </row>
    <row r="19" spans="1:8" x14ac:dyDescent="0.3">
      <c r="A19" s="24">
        <v>46168</v>
      </c>
      <c r="B19" s="29">
        <v>21.689286520376314</v>
      </c>
      <c r="C19" s="29">
        <v>5.7087996337338991</v>
      </c>
      <c r="D19" s="29">
        <v>67.329567398119011</v>
      </c>
      <c r="E19" s="29">
        <v>19.677753720210248</v>
      </c>
      <c r="F19" s="41">
        <v>12543915</v>
      </c>
      <c r="G19" s="25">
        <v>1321798</v>
      </c>
      <c r="H19" s="25">
        <v>479420</v>
      </c>
    </row>
    <row r="20" spans="1:8" x14ac:dyDescent="0.3">
      <c r="A20" s="23"/>
      <c r="B20" s="34"/>
      <c r="C20" s="34"/>
      <c r="D20" s="34"/>
      <c r="E20" s="34"/>
      <c r="F20" s="46"/>
      <c r="G20" s="33"/>
      <c r="H20" s="33"/>
    </row>
    <row r="21" spans="1:8" x14ac:dyDescent="0.3">
      <c r="A21" s="23"/>
    </row>
    <row r="22" spans="1:8" x14ac:dyDescent="0.3">
      <c r="A22" s="23"/>
    </row>
  </sheetData>
  <mergeCells count="1">
    <mergeCell ref="B1:G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80B6-8F86-47AB-92AD-D34AB374E100}">
  <dimension ref="A1:D10"/>
  <sheetViews>
    <sheetView zoomScale="105" zoomScaleNormal="100" workbookViewId="0">
      <selection activeCell="K30" sqref="K30"/>
    </sheetView>
  </sheetViews>
  <sheetFormatPr baseColWidth="10" defaultColWidth="11.44140625" defaultRowHeight="14.4" x14ac:dyDescent="0.3"/>
  <cols>
    <col min="1" max="1" width="11.44140625" style="2"/>
    <col min="2" max="2" width="27.5546875" style="2" bestFit="1" customWidth="1"/>
    <col min="3" max="3" width="18.5546875" style="2" bestFit="1" customWidth="1"/>
    <col min="4" max="4" width="13.109375" style="2" bestFit="1" customWidth="1"/>
    <col min="5" max="16384" width="11.44140625" style="2"/>
  </cols>
  <sheetData>
    <row r="1" spans="1:4" x14ac:dyDescent="0.3">
      <c r="A1" s="2" t="s">
        <v>11</v>
      </c>
      <c r="B1" s="2" t="s">
        <v>125</v>
      </c>
      <c r="C1" s="2" t="s">
        <v>126</v>
      </c>
      <c r="D1" s="2" t="s">
        <v>127</v>
      </c>
    </row>
    <row r="2" spans="1:4" s="1" customFormat="1" x14ac:dyDescent="0.3">
      <c r="A2" s="7">
        <v>45876</v>
      </c>
      <c r="B2" s="21">
        <v>20.235130869420939</v>
      </c>
      <c r="C2" s="20">
        <v>78.447272879680327</v>
      </c>
      <c r="D2" s="20">
        <v>71.814275707234103</v>
      </c>
    </row>
    <row r="3" spans="1:4" x14ac:dyDescent="0.3">
      <c r="A3" s="7">
        <v>45890</v>
      </c>
      <c r="B3" s="19">
        <v>20.278333463568835</v>
      </c>
      <c r="C3" s="4">
        <v>73.528233971434119</v>
      </c>
      <c r="D3" s="4">
        <v>87.907766958409383</v>
      </c>
    </row>
    <row r="4" spans="1:4" x14ac:dyDescent="0.3">
      <c r="A4" s="7">
        <v>45904</v>
      </c>
      <c r="B4" s="19">
        <v>21.6400433293236</v>
      </c>
      <c r="C4" s="4">
        <v>77.005501026630171</v>
      </c>
      <c r="D4" s="4">
        <v>66.206543643880309</v>
      </c>
    </row>
    <row r="5" spans="1:4" x14ac:dyDescent="0.3">
      <c r="A5" s="7">
        <v>45918</v>
      </c>
      <c r="B5" s="19">
        <v>19.928612370766988</v>
      </c>
      <c r="C5" s="4">
        <v>83.392323161127607</v>
      </c>
      <c r="D5" s="4">
        <v>66.582187384197894</v>
      </c>
    </row>
    <row r="6" spans="1:4" x14ac:dyDescent="0.3">
      <c r="A6" s="7">
        <v>45932</v>
      </c>
      <c r="B6" s="19">
        <v>19.763532074415135</v>
      </c>
      <c r="C6" s="4">
        <v>82.114175540372699</v>
      </c>
      <c r="D6" s="4">
        <v>34.755383555104274</v>
      </c>
    </row>
    <row r="7" spans="1:4" x14ac:dyDescent="0.3">
      <c r="A7" s="7">
        <v>45946</v>
      </c>
      <c r="B7" s="19">
        <v>19.25840960667367</v>
      </c>
      <c r="C7" s="4">
        <v>85.147509298434855</v>
      </c>
      <c r="D7" s="4">
        <v>31.337702647115783</v>
      </c>
    </row>
    <row r="8" spans="1:4" x14ac:dyDescent="0.3">
      <c r="A8" s="7">
        <v>45960</v>
      </c>
      <c r="B8" s="19">
        <v>18.674284238039203</v>
      </c>
      <c r="C8" s="4">
        <v>84.146646168630056</v>
      </c>
      <c r="D8" s="4">
        <v>22.18875278261714</v>
      </c>
    </row>
    <row r="9" spans="1:4" x14ac:dyDescent="0.3">
      <c r="A9" s="7">
        <v>45974</v>
      </c>
      <c r="B9" s="19">
        <v>18.574385663818386</v>
      </c>
      <c r="C9" s="4">
        <v>82.27902494331066</v>
      </c>
      <c r="D9" s="4">
        <v>19.861908477822031</v>
      </c>
    </row>
    <row r="10" spans="1:4" x14ac:dyDescent="0.3">
      <c r="A10" s="7">
        <v>45988</v>
      </c>
      <c r="B10" s="19">
        <v>19.866315968466235</v>
      </c>
      <c r="C10" s="4">
        <v>82.764489498357804</v>
      </c>
      <c r="D10" s="4">
        <v>17.384793398017681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D4A1-D2BC-4BD4-9421-83AC028016CF}">
  <dimension ref="A1:S25"/>
  <sheetViews>
    <sheetView topLeftCell="A2" zoomScale="85" zoomScaleNormal="85" workbookViewId="0">
      <selection activeCell="N12" sqref="N12"/>
    </sheetView>
  </sheetViews>
  <sheetFormatPr baseColWidth="10" defaultRowHeight="14.4" x14ac:dyDescent="0.3"/>
  <cols>
    <col min="1" max="1" width="21.109375" bestFit="1" customWidth="1"/>
    <col min="2" max="2" width="22.21875" bestFit="1" customWidth="1"/>
    <col min="3" max="3" width="17.109375" bestFit="1" customWidth="1"/>
    <col min="4" max="4" width="18.44140625" bestFit="1" customWidth="1"/>
    <col min="5" max="5" width="16.109375" bestFit="1" customWidth="1"/>
    <col min="6" max="6" width="29.77734375" bestFit="1" customWidth="1"/>
    <col min="7" max="7" width="24.88671875" bestFit="1" customWidth="1"/>
    <col min="8" max="8" width="17.44140625" bestFit="1" customWidth="1"/>
    <col min="9" max="9" width="17.109375" bestFit="1" customWidth="1"/>
    <col min="10" max="10" width="18.44140625" bestFit="1" customWidth="1"/>
    <col min="11" max="11" width="12.77734375" bestFit="1" customWidth="1"/>
    <col min="12" max="12" width="29.77734375" bestFit="1" customWidth="1"/>
    <col min="13" max="13" width="23" bestFit="1" customWidth="1"/>
    <col min="14" max="14" width="12.77734375" bestFit="1" customWidth="1"/>
    <col min="15" max="15" width="12" bestFit="1" customWidth="1"/>
    <col min="16" max="17" width="12.44140625" bestFit="1" customWidth="1"/>
    <col min="18" max="18" width="17.109375" bestFit="1" customWidth="1"/>
    <col min="19" max="19" width="11.5546875" bestFit="1" customWidth="1"/>
  </cols>
  <sheetData>
    <row r="1" spans="1:19" x14ac:dyDescent="0.3">
      <c r="B1" s="12" t="s">
        <v>57</v>
      </c>
    </row>
    <row r="2" spans="1:19" s="17" customFormat="1" ht="60.75" customHeight="1" x14ac:dyDescent="0.3">
      <c r="A2"/>
      <c r="B2" s="18" t="s">
        <v>2</v>
      </c>
      <c r="C2" s="18"/>
      <c r="D2" s="18"/>
      <c r="E2" s="18"/>
      <c r="F2" s="18"/>
      <c r="G2" s="18"/>
      <c r="H2" s="18" t="s">
        <v>0</v>
      </c>
      <c r="I2" s="18"/>
      <c r="J2" s="18"/>
      <c r="K2" s="18"/>
      <c r="L2" s="18"/>
      <c r="M2" s="18"/>
      <c r="N2" s="17" t="s">
        <v>58</v>
      </c>
      <c r="O2" s="17" t="s">
        <v>60</v>
      </c>
      <c r="P2" s="17" t="s">
        <v>62</v>
      </c>
      <c r="Q2" s="17" t="s">
        <v>64</v>
      </c>
      <c r="R2" s="17" t="s">
        <v>68</v>
      </c>
      <c r="S2" s="17" t="s">
        <v>70</v>
      </c>
    </row>
    <row r="3" spans="1:19" s="17" customFormat="1" ht="33.75" customHeight="1" x14ac:dyDescent="0.3">
      <c r="A3" s="16" t="s">
        <v>55</v>
      </c>
      <c r="B3" s="17" t="s">
        <v>59</v>
      </c>
      <c r="C3" s="17" t="s">
        <v>61</v>
      </c>
      <c r="D3" s="17" t="s">
        <v>63</v>
      </c>
      <c r="E3" s="17" t="s">
        <v>65</v>
      </c>
      <c r="F3" s="17" t="s">
        <v>69</v>
      </c>
      <c r="G3" s="17" t="s">
        <v>71</v>
      </c>
      <c r="H3" s="17" t="s">
        <v>59</v>
      </c>
      <c r="I3" s="17" t="s">
        <v>61</v>
      </c>
      <c r="J3" s="17" t="s">
        <v>63</v>
      </c>
      <c r="K3" s="17" t="s">
        <v>65</v>
      </c>
      <c r="L3" s="17" t="s">
        <v>69</v>
      </c>
      <c r="M3" s="17" t="s">
        <v>71</v>
      </c>
    </row>
    <row r="4" spans="1:19" x14ac:dyDescent="0.3">
      <c r="A4" s="13">
        <v>45876</v>
      </c>
      <c r="B4" s="8">
        <v>0.60500000000000009</v>
      </c>
      <c r="C4" s="8">
        <v>8.666666666666667E-2</v>
      </c>
      <c r="D4" s="8">
        <v>0.03</v>
      </c>
      <c r="E4" s="8">
        <v>7.84</v>
      </c>
      <c r="F4" s="15">
        <v>0.94064999999999999</v>
      </c>
      <c r="G4" s="15">
        <v>4.3071900750114812E-3</v>
      </c>
      <c r="H4" s="8">
        <v>0.68500000000000005</v>
      </c>
      <c r="I4" s="8">
        <v>9.3333333333333324E-2</v>
      </c>
      <c r="J4" s="8">
        <v>4.583333333333333E-2</v>
      </c>
      <c r="K4" s="8">
        <v>8.5458333333333343</v>
      </c>
      <c r="L4" s="15">
        <v>0.95574999999999999</v>
      </c>
      <c r="M4" s="15">
        <v>3.997974774748855E-3</v>
      </c>
      <c r="N4" s="8">
        <v>0.64500000000000002</v>
      </c>
      <c r="O4" s="8">
        <v>0.09</v>
      </c>
      <c r="P4" s="8">
        <v>3.7916666666666668E-2</v>
      </c>
      <c r="Q4" s="8">
        <v>8.1929166666666671</v>
      </c>
      <c r="R4" s="15">
        <v>0.94820000000000004</v>
      </c>
      <c r="S4" s="15">
        <v>4.1525824248801685E-3</v>
      </c>
    </row>
    <row r="5" spans="1:19" x14ac:dyDescent="0.3">
      <c r="A5" s="13">
        <v>45890</v>
      </c>
      <c r="B5" s="8">
        <v>0.67666666666666675</v>
      </c>
      <c r="C5" s="8">
        <v>8.5833333333333331E-2</v>
      </c>
      <c r="D5" s="8">
        <v>4.5000000000000005E-2</v>
      </c>
      <c r="E5" s="8">
        <v>8.5474999999999994</v>
      </c>
      <c r="F5" s="15">
        <v>0.91940000000000011</v>
      </c>
      <c r="G5" s="15">
        <v>5.2650935097048939E-3</v>
      </c>
      <c r="H5" s="8">
        <v>0.64250000000000007</v>
      </c>
      <c r="I5" s="8">
        <v>9.5833333333333326E-2</v>
      </c>
      <c r="J5" s="8">
        <v>5.5E-2</v>
      </c>
      <c r="K5" s="8">
        <v>7.610833333333332</v>
      </c>
      <c r="L5" s="15">
        <v>0.95642499999999997</v>
      </c>
      <c r="M5" s="15">
        <v>3.8529113229666236E-3</v>
      </c>
      <c r="N5" s="8">
        <v>0.65958333333333341</v>
      </c>
      <c r="O5" s="8">
        <v>9.0833333333333335E-2</v>
      </c>
      <c r="P5" s="8">
        <v>0.05</v>
      </c>
      <c r="Q5" s="8">
        <v>8.0791666666666657</v>
      </c>
      <c r="R5" s="15">
        <v>0.93791250000000015</v>
      </c>
      <c r="S5" s="15">
        <v>4.5590024163357596E-3</v>
      </c>
    </row>
    <row r="6" spans="1:19" x14ac:dyDescent="0.3">
      <c r="A6" s="13">
        <v>45904</v>
      </c>
      <c r="B6" s="8">
        <v>0.57125000000000004</v>
      </c>
      <c r="C6" s="8">
        <v>9.8750000000000004E-2</v>
      </c>
      <c r="D6" s="8">
        <v>0.03</v>
      </c>
      <c r="E6" s="8">
        <v>5.8825000000000003</v>
      </c>
      <c r="F6" s="15">
        <v>0.91449999999999998</v>
      </c>
      <c r="G6" s="15">
        <v>4.8986909969212121E-3</v>
      </c>
      <c r="H6" s="8">
        <v>0.51</v>
      </c>
      <c r="I6" s="8">
        <v>0.12</v>
      </c>
      <c r="J6" s="8">
        <v>2.5000000000000001E-2</v>
      </c>
      <c r="K6" s="8">
        <v>4.6725000000000003</v>
      </c>
      <c r="L6" s="15">
        <v>0.95237499999999997</v>
      </c>
      <c r="M6" s="15">
        <v>3.7025074218619619E-3</v>
      </c>
      <c r="N6" s="8">
        <v>0.54062500000000002</v>
      </c>
      <c r="O6" s="8">
        <v>0.10937499999999999</v>
      </c>
      <c r="P6" s="8">
        <v>2.7499999999999997E-2</v>
      </c>
      <c r="Q6" s="8">
        <v>5.2774999999999999</v>
      </c>
      <c r="R6" s="15">
        <v>0.93343750000000003</v>
      </c>
      <c r="S6" s="15">
        <v>4.3005992093915861E-3</v>
      </c>
    </row>
    <row r="7" spans="1:19" x14ac:dyDescent="0.3">
      <c r="A7" s="13">
        <v>45918</v>
      </c>
      <c r="B7" s="8">
        <v>0.55999999999999994</v>
      </c>
      <c r="C7" s="8">
        <v>8.8750000000000009E-2</v>
      </c>
      <c r="D7" s="8">
        <v>3.3750000000000002E-2</v>
      </c>
      <c r="E7" s="8">
        <v>7.1849999999999996</v>
      </c>
      <c r="F7" s="15">
        <v>0.93465000000000009</v>
      </c>
      <c r="G7" s="15">
        <v>5.030383519629365E-3</v>
      </c>
      <c r="H7" s="8">
        <v>0.53625</v>
      </c>
      <c r="I7" s="8">
        <v>0.14874999999999999</v>
      </c>
      <c r="J7" s="8">
        <v>1.6250000000000001E-2</v>
      </c>
      <c r="K7" s="8">
        <v>4.0449999999999999</v>
      </c>
      <c r="L7" s="15">
        <v>0.94789999999999996</v>
      </c>
      <c r="M7" s="15">
        <v>3.7055595438362588E-3</v>
      </c>
      <c r="N7" s="8">
        <v>0.54812500000000008</v>
      </c>
      <c r="O7" s="8">
        <v>0.11874999999999999</v>
      </c>
      <c r="P7" s="8">
        <v>2.5000000000000001E-2</v>
      </c>
      <c r="Q7" s="8">
        <v>5.6150000000000011</v>
      </c>
      <c r="R7" s="15">
        <v>0.94127500000000008</v>
      </c>
      <c r="S7" s="15">
        <v>4.3679715317328114E-3</v>
      </c>
    </row>
    <row r="8" spans="1:19" x14ac:dyDescent="0.3">
      <c r="A8" s="13">
        <v>45932</v>
      </c>
      <c r="B8" s="8">
        <v>0.49333333333333335</v>
      </c>
      <c r="C8" s="8">
        <v>0.12250000000000001</v>
      </c>
      <c r="D8" s="8">
        <v>2.1666666666666667E-2</v>
      </c>
      <c r="E8" s="8">
        <v>4.2925000000000004</v>
      </c>
      <c r="F8" s="15">
        <v>0.92912499999999998</v>
      </c>
      <c r="G8" s="15">
        <v>5.4316241910819137E-3</v>
      </c>
      <c r="H8" s="8">
        <v>0.61583333333333323</v>
      </c>
      <c r="I8" s="14">
        <v>0.12</v>
      </c>
      <c r="J8" s="8">
        <v>1.4166666666666668E-2</v>
      </c>
      <c r="K8" s="8">
        <v>5.3433333333333337</v>
      </c>
      <c r="L8" s="15">
        <v>0.94887499999999991</v>
      </c>
      <c r="M8" s="15">
        <v>3.7662668661452448E-3</v>
      </c>
      <c r="N8" s="8">
        <v>0.55458333333333332</v>
      </c>
      <c r="O8" s="8">
        <v>0.12125</v>
      </c>
      <c r="P8" s="8">
        <v>1.7916666666666668E-2</v>
      </c>
      <c r="Q8" s="8">
        <v>4.8179166666666662</v>
      </c>
      <c r="R8" s="15">
        <v>0.93899999999999995</v>
      </c>
      <c r="S8" s="15">
        <v>4.5989455286135792E-3</v>
      </c>
    </row>
    <row r="9" spans="1:19" x14ac:dyDescent="0.3">
      <c r="A9" s="13">
        <v>45946</v>
      </c>
      <c r="B9" s="8">
        <v>0.62375000000000003</v>
      </c>
      <c r="C9" s="8">
        <v>0.09</v>
      </c>
      <c r="D9" s="8">
        <v>2.1250000000000002E-2</v>
      </c>
      <c r="E9" s="8">
        <v>7.2137500000000001</v>
      </c>
      <c r="F9" s="15">
        <v>0.93022500000000008</v>
      </c>
      <c r="G9" s="15">
        <v>4.3268417428155032E-3</v>
      </c>
      <c r="H9" s="8">
        <v>0.66749999999999998</v>
      </c>
      <c r="I9" s="8">
        <v>0.12</v>
      </c>
      <c r="J9" s="8">
        <v>1.6250000000000001E-2</v>
      </c>
      <c r="K9" s="8">
        <v>6.09</v>
      </c>
      <c r="L9" s="15">
        <v>0.95287499999999992</v>
      </c>
      <c r="M9" s="15">
        <v>3.4262570386669423E-3</v>
      </c>
      <c r="N9" s="8">
        <v>0.645625</v>
      </c>
      <c r="O9" s="8">
        <v>0.105</v>
      </c>
      <c r="P9" s="8">
        <v>1.8749999999999999E-2</v>
      </c>
      <c r="Q9" s="8">
        <v>6.6518749999999995</v>
      </c>
      <c r="R9" s="15">
        <v>0.94155</v>
      </c>
      <c r="S9" s="15">
        <v>3.8765493907412228E-3</v>
      </c>
    </row>
    <row r="10" spans="1:19" x14ac:dyDescent="0.3">
      <c r="A10" s="13">
        <v>45960</v>
      </c>
      <c r="B10" s="8">
        <v>0.67874999999999996</v>
      </c>
      <c r="C10" s="8">
        <v>6.5000000000000002E-2</v>
      </c>
      <c r="D10" s="8">
        <v>3.875E-2</v>
      </c>
      <c r="E10" s="8">
        <v>11.2425</v>
      </c>
      <c r="F10" s="15">
        <v>0.93272500000000003</v>
      </c>
      <c r="G10" s="15">
        <v>5.2199564946630419E-3</v>
      </c>
      <c r="H10" s="8">
        <v>0.78874999999999995</v>
      </c>
      <c r="I10" s="8">
        <v>9.5000000000000001E-2</v>
      </c>
      <c r="J10" s="8">
        <v>4.3750000000000004E-2</v>
      </c>
      <c r="K10" s="8">
        <v>8.7537500000000001</v>
      </c>
      <c r="L10" s="15">
        <v>0.95469999999999999</v>
      </c>
      <c r="M10" s="15">
        <v>3.6541443939724456E-3</v>
      </c>
      <c r="N10" s="8">
        <v>0.73375000000000001</v>
      </c>
      <c r="O10" s="8">
        <v>0.08</v>
      </c>
      <c r="P10" s="8">
        <v>4.1249999999999995E-2</v>
      </c>
      <c r="Q10" s="8">
        <v>9.9981249999999999</v>
      </c>
      <c r="R10" s="15">
        <v>0.94371249999999995</v>
      </c>
      <c r="S10" s="15">
        <v>4.4370504443177437E-3</v>
      </c>
    </row>
    <row r="11" spans="1:19" x14ac:dyDescent="0.3">
      <c r="A11" s="13">
        <v>45974</v>
      </c>
      <c r="B11" s="8">
        <v>0.73750000000000004</v>
      </c>
      <c r="C11" s="8">
        <v>9.1250000000000012E-2</v>
      </c>
      <c r="D11" s="8">
        <v>4.1249999999999995E-2</v>
      </c>
      <c r="E11" s="8">
        <v>8.8500000000000014</v>
      </c>
      <c r="F11" s="15">
        <v>0.92325000000000002</v>
      </c>
      <c r="G11" s="15">
        <v>4.6404158140311621E-3</v>
      </c>
      <c r="H11" s="8">
        <v>0.6825</v>
      </c>
      <c r="I11" s="8">
        <v>7.6250000000000012E-2</v>
      </c>
      <c r="J11" s="8">
        <v>2.8750000000000005E-2</v>
      </c>
      <c r="K11" s="8">
        <v>10.42375</v>
      </c>
      <c r="L11" s="15">
        <v>0.95467499999999994</v>
      </c>
      <c r="M11" s="15">
        <v>3.6530697816420008E-3</v>
      </c>
      <c r="N11" s="8">
        <v>0.71000000000000008</v>
      </c>
      <c r="O11" s="8">
        <v>8.3749999999999991E-2</v>
      </c>
      <c r="P11" s="8">
        <v>3.4999999999999996E-2</v>
      </c>
      <c r="Q11" s="8">
        <v>9.6368749999999999</v>
      </c>
      <c r="R11" s="15">
        <v>0.93896250000000014</v>
      </c>
      <c r="S11" s="15">
        <v>4.1467427978365817E-3</v>
      </c>
    </row>
    <row r="12" spans="1:19" x14ac:dyDescent="0.3">
      <c r="A12" s="13">
        <v>45988</v>
      </c>
      <c r="B12" s="14"/>
      <c r="C12" s="14"/>
      <c r="D12" s="14"/>
      <c r="E12" s="14"/>
      <c r="F12" s="15">
        <v>0.91660000000000008</v>
      </c>
      <c r="G12" s="15">
        <v>5.1065694812174947E-3</v>
      </c>
      <c r="H12" s="14"/>
      <c r="I12" s="14"/>
      <c r="J12" s="14"/>
      <c r="K12" s="14"/>
      <c r="L12" s="15">
        <v>0.94757500000000006</v>
      </c>
      <c r="M12" s="15">
        <v>4.9203381790229577E-3</v>
      </c>
      <c r="N12" s="8"/>
      <c r="O12" s="8"/>
      <c r="P12" s="8"/>
      <c r="Q12" s="8"/>
      <c r="R12" s="15">
        <v>0.93208750000000018</v>
      </c>
      <c r="S12" s="15">
        <v>5.0134538301202262E-3</v>
      </c>
    </row>
    <row r="13" spans="1:19" x14ac:dyDescent="0.3">
      <c r="A13" s="13">
        <v>46072</v>
      </c>
      <c r="B13" s="8">
        <v>0.8125</v>
      </c>
      <c r="C13" s="8">
        <v>6.8333333333333329E-2</v>
      </c>
      <c r="D13" s="8">
        <v>3.4166666666666665E-2</v>
      </c>
      <c r="E13" s="8">
        <v>12.328333333333333</v>
      </c>
      <c r="F13" s="15">
        <v>0.92010000000000003</v>
      </c>
      <c r="G13" s="15">
        <v>5.6791053614014412E-3</v>
      </c>
      <c r="H13" s="8">
        <v>1.1391666666666667</v>
      </c>
      <c r="I13" s="8">
        <v>0.13333333333333333</v>
      </c>
      <c r="J13" s="8">
        <v>2.9166666666666667E-2</v>
      </c>
      <c r="K13" s="8">
        <v>9.8783333333333339</v>
      </c>
      <c r="L13" s="15">
        <v>0.946025</v>
      </c>
      <c r="M13" s="15">
        <v>3.3770606389034634E-3</v>
      </c>
      <c r="N13" s="8">
        <v>0.97583333333333333</v>
      </c>
      <c r="O13" s="8">
        <v>0.10083333333333333</v>
      </c>
      <c r="P13" s="8">
        <v>3.1666666666666669E-2</v>
      </c>
      <c r="Q13" s="8">
        <v>11.103333333333332</v>
      </c>
      <c r="R13" s="15">
        <v>0.93306250000000013</v>
      </c>
      <c r="S13" s="15">
        <v>4.5280830001524523E-3</v>
      </c>
    </row>
    <row r="14" spans="1:19" x14ac:dyDescent="0.3">
      <c r="A14" s="13">
        <v>46086</v>
      </c>
      <c r="B14" s="8">
        <v>0.83583333333333332</v>
      </c>
      <c r="C14" s="8">
        <v>9.166666666666666E-2</v>
      </c>
      <c r="D14" s="8">
        <v>3.1666666666666662E-2</v>
      </c>
      <c r="E14" s="8">
        <v>9.6758333333333351</v>
      </c>
      <c r="F14" s="15">
        <v>0.91355000000000008</v>
      </c>
      <c r="G14" s="15">
        <v>7.2819232142274084E-3</v>
      </c>
      <c r="H14" s="8">
        <v>0.93083333333333329</v>
      </c>
      <c r="I14" s="8">
        <v>0.12833333333333335</v>
      </c>
      <c r="J14" s="8">
        <v>2.3333333333333331E-2</v>
      </c>
      <c r="K14" s="8">
        <v>7.8008333333333333</v>
      </c>
      <c r="L14" s="15">
        <v>0.95424999999999993</v>
      </c>
      <c r="M14" s="15">
        <v>4.7623472265222724E-3</v>
      </c>
      <c r="N14" s="8">
        <v>0.88333333333333319</v>
      </c>
      <c r="O14" s="8">
        <v>0.11</v>
      </c>
      <c r="P14" s="8">
        <v>2.7499999999999997E-2</v>
      </c>
      <c r="Q14" s="8">
        <v>8.7383333333333333</v>
      </c>
      <c r="R14" s="15">
        <v>0.93390000000000006</v>
      </c>
      <c r="S14" s="15">
        <v>6.0221352203748404E-3</v>
      </c>
    </row>
    <row r="15" spans="1:19" x14ac:dyDescent="0.3">
      <c r="A15" s="13">
        <v>46100</v>
      </c>
      <c r="B15" s="8">
        <v>0.78250000000000008</v>
      </c>
      <c r="C15" s="8">
        <v>0.14499999999999999</v>
      </c>
      <c r="D15" s="8">
        <v>1.9166666666666665E-2</v>
      </c>
      <c r="E15" s="8">
        <v>6.0808333333333335</v>
      </c>
      <c r="F15" s="15">
        <v>0.91812499999999997</v>
      </c>
      <c r="G15" s="15">
        <v>6.2000676991963198E-3</v>
      </c>
      <c r="H15" s="8">
        <v>0.95416666666666661</v>
      </c>
      <c r="I15" s="8">
        <v>8.5000000000000006E-2</v>
      </c>
      <c r="J15" s="8">
        <v>2.416666666666667E-2</v>
      </c>
      <c r="K15" s="8">
        <v>12.146666666666668</v>
      </c>
      <c r="L15" s="15">
        <v>0.94627499999999998</v>
      </c>
      <c r="M15" s="15">
        <v>4.5595896916520127E-3</v>
      </c>
      <c r="N15" s="8">
        <v>0.8683333333333334</v>
      </c>
      <c r="O15" s="8">
        <v>0.11499999999999999</v>
      </c>
      <c r="P15" s="8">
        <v>2.1666666666666664E-2</v>
      </c>
      <c r="Q15" s="8">
        <v>9.1137499999999996</v>
      </c>
      <c r="R15" s="15">
        <v>0.93219999999999992</v>
      </c>
      <c r="S15" s="15">
        <v>5.3798286954241667E-3</v>
      </c>
    </row>
    <row r="16" spans="1:19" x14ac:dyDescent="0.3">
      <c r="A16" s="13">
        <v>46114</v>
      </c>
      <c r="B16" s="8">
        <v>0.59666666666666668</v>
      </c>
      <c r="C16" s="8">
        <v>0.11500000000000002</v>
      </c>
      <c r="D16" s="8">
        <v>1.4166666666666666E-2</v>
      </c>
      <c r="E16" s="8">
        <v>6.1149999999999993</v>
      </c>
      <c r="F16" s="15">
        <v>0.90649999999999997</v>
      </c>
      <c r="G16" s="15">
        <v>5.8167777333859721E-3</v>
      </c>
      <c r="H16" s="8">
        <v>0.81333333333333346</v>
      </c>
      <c r="I16" s="8">
        <v>8.3333333333333343E-2</v>
      </c>
      <c r="J16" s="8">
        <v>1.6666666666666666E-2</v>
      </c>
      <c r="K16" s="8">
        <v>10.584166666666668</v>
      </c>
      <c r="L16" s="15">
        <v>0.93922499999999998</v>
      </c>
      <c r="M16" s="15">
        <v>3.1305928156532981E-3</v>
      </c>
      <c r="N16" s="8">
        <v>0.70499999999999996</v>
      </c>
      <c r="O16" s="8">
        <v>9.9166666666666681E-2</v>
      </c>
      <c r="P16" s="8">
        <v>1.5416666666666667E-2</v>
      </c>
      <c r="Q16" s="8">
        <v>8.3495833333333334</v>
      </c>
      <c r="R16" s="15">
        <v>0.92286250000000003</v>
      </c>
      <c r="S16" s="15">
        <v>4.4736852745196351E-3</v>
      </c>
    </row>
    <row r="17" spans="1:19" x14ac:dyDescent="0.3">
      <c r="A17" s="13">
        <v>46128</v>
      </c>
      <c r="B17" s="8">
        <v>0.60666666666666669</v>
      </c>
      <c r="C17" s="8">
        <v>7.6666666666666661E-2</v>
      </c>
      <c r="D17" s="8">
        <v>2.8333333333333335E-2</v>
      </c>
      <c r="E17" s="8">
        <v>9.3125</v>
      </c>
      <c r="F17" s="15">
        <v>0.89607500000000007</v>
      </c>
      <c r="G17" s="15">
        <v>7.4146573439557283E-3</v>
      </c>
      <c r="H17" s="8">
        <v>0.72083333333333344</v>
      </c>
      <c r="I17" s="8">
        <v>9.166666666666666E-2</v>
      </c>
      <c r="J17" s="8">
        <v>2.75E-2</v>
      </c>
      <c r="K17" s="8">
        <v>8.9049999999999994</v>
      </c>
      <c r="L17" s="15">
        <v>0.94152500000000006</v>
      </c>
      <c r="M17" s="15">
        <v>3.8255529207702563E-3</v>
      </c>
      <c r="N17" s="8">
        <v>0.66374999999999995</v>
      </c>
      <c r="O17" s="8">
        <v>8.4166666666666667E-2</v>
      </c>
      <c r="P17" s="8">
        <v>2.7916666666666666E-2</v>
      </c>
      <c r="Q17" s="8">
        <v>9.1087500000000006</v>
      </c>
      <c r="R17" s="15">
        <v>0.91880000000000006</v>
      </c>
      <c r="S17" s="15">
        <v>5.6201051323629923E-3</v>
      </c>
    </row>
    <row r="18" spans="1:19" x14ac:dyDescent="0.3">
      <c r="A18" s="13">
        <v>46141</v>
      </c>
      <c r="B18" s="8">
        <v>0.61166666666666669</v>
      </c>
      <c r="C18" s="8">
        <v>9.0833333333333335E-2</v>
      </c>
      <c r="D18" s="8">
        <v>2.8333333333333332E-2</v>
      </c>
      <c r="E18" s="8">
        <v>7.3433333333333337</v>
      </c>
      <c r="F18" s="15">
        <v>0.90474999999999994</v>
      </c>
      <c r="G18" s="15">
        <v>5.1172919014767426E-3</v>
      </c>
      <c r="H18" s="8">
        <v>0.63250000000000006</v>
      </c>
      <c r="I18" s="8">
        <v>8.8333333333333333E-2</v>
      </c>
      <c r="J18" s="8">
        <v>3.6666666666666667E-2</v>
      </c>
      <c r="K18" s="8">
        <v>7.3608333333333329</v>
      </c>
      <c r="L18" s="15">
        <v>0.94362500000000005</v>
      </c>
      <c r="M18" s="15">
        <v>2.9310602713136001E-3</v>
      </c>
      <c r="N18" s="8">
        <v>0.62208333333333332</v>
      </c>
      <c r="O18" s="8">
        <v>8.9583333333333334E-2</v>
      </c>
      <c r="P18" s="8">
        <v>3.2500000000000001E-2</v>
      </c>
      <c r="Q18" s="8">
        <v>7.3520833333333337</v>
      </c>
      <c r="R18" s="15">
        <v>0.92418750000000005</v>
      </c>
      <c r="S18" s="15">
        <v>4.0241760863951714E-3</v>
      </c>
    </row>
    <row r="19" spans="1:19" x14ac:dyDescent="0.3">
      <c r="A19" s="13">
        <v>46168</v>
      </c>
      <c r="B19" s="8">
        <v>0.57166666666666666</v>
      </c>
      <c r="C19" s="8">
        <v>0.155</v>
      </c>
      <c r="D19" s="8">
        <v>3.6666666666666674E-2</v>
      </c>
      <c r="E19" s="8">
        <v>4.4683333333333337</v>
      </c>
      <c r="F19" s="15">
        <v>0.91415000000000002</v>
      </c>
      <c r="G19" s="15">
        <v>5.5252193437236004E-3</v>
      </c>
      <c r="H19" s="8">
        <v>0.59333333333333327</v>
      </c>
      <c r="I19" s="8">
        <v>9.3333333333333324E-2</v>
      </c>
      <c r="J19" s="8">
        <v>3.2500000000000001E-2</v>
      </c>
      <c r="K19" s="8">
        <v>7.2925000000000004</v>
      </c>
      <c r="L19" s="15">
        <v>0.94097500000000001</v>
      </c>
      <c r="M19" s="15">
        <v>4.1658537645823165E-3</v>
      </c>
      <c r="N19" s="8">
        <v>0.58250000000000002</v>
      </c>
      <c r="O19" s="8">
        <v>0.12416666666666668</v>
      </c>
      <c r="P19" s="8">
        <v>3.4583333333333341E-2</v>
      </c>
      <c r="Q19" s="8">
        <v>5.880416666666668</v>
      </c>
      <c r="R19" s="15">
        <v>0.92756250000000007</v>
      </c>
      <c r="S19" s="15">
        <v>4.845536554152958E-3</v>
      </c>
    </row>
    <row r="20" spans="1:19" x14ac:dyDescent="0.3">
      <c r="A20" s="2" t="s">
        <v>56</v>
      </c>
      <c r="B20" s="14">
        <v>0.6509166666666667</v>
      </c>
      <c r="C20" s="14">
        <v>9.8083333333333356E-2</v>
      </c>
      <c r="D20" s="14">
        <v>3.0277777777777789E-2</v>
      </c>
      <c r="E20" s="14">
        <v>7.7585277777777781</v>
      </c>
      <c r="F20" s="15">
        <v>0.91964843750000047</v>
      </c>
      <c r="G20" s="15">
        <v>5.4538630264027062E-3</v>
      </c>
      <c r="H20" s="14">
        <v>0.72749999999999992</v>
      </c>
      <c r="I20" s="14">
        <v>0.10483333333333336</v>
      </c>
      <c r="J20" s="14">
        <v>2.9000000000000026E-2</v>
      </c>
      <c r="K20" s="14">
        <v>7.9635555555555548</v>
      </c>
      <c r="L20" s="14">
        <v>0.94894062499999998</v>
      </c>
      <c r="M20" s="14">
        <v>3.8394429157662825E-3</v>
      </c>
      <c r="N20" s="14">
        <v>0.6892083333333332</v>
      </c>
      <c r="O20" s="14">
        <v>0.10145833333333334</v>
      </c>
      <c r="P20" s="14">
        <v>2.9638888888888892E-2</v>
      </c>
      <c r="Q20" s="14">
        <v>7.8610416666666652</v>
      </c>
      <c r="R20" s="15">
        <v>0.93429453125000006</v>
      </c>
      <c r="S20" s="15">
        <v>4.6466529710844934E-3</v>
      </c>
    </row>
    <row r="25" spans="1:19" s="8" customFormat="1" x14ac:dyDescent="0.3"/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4DA7-4186-491D-A5BA-C1D84F2F1884}">
  <dimension ref="A3:J22"/>
  <sheetViews>
    <sheetView workbookViewId="0">
      <selection activeCell="C20" sqref="C19:C20"/>
    </sheetView>
  </sheetViews>
  <sheetFormatPr baseColWidth="10" defaultRowHeight="14.4" x14ac:dyDescent="0.3"/>
  <cols>
    <col min="1" max="1" width="22.109375" bestFit="1" customWidth="1"/>
    <col min="2" max="2" width="43.5546875" bestFit="1" customWidth="1"/>
    <col min="3" max="3" width="51.21875" bestFit="1" customWidth="1"/>
    <col min="4" max="4" width="59.5546875" bestFit="1" customWidth="1"/>
    <col min="5" max="5" width="43.5546875" bestFit="1" customWidth="1"/>
    <col min="6" max="6" width="51.21875" bestFit="1" customWidth="1"/>
    <col min="7" max="7" width="59.5546875" bestFit="1" customWidth="1"/>
    <col min="8" max="8" width="51.6640625" bestFit="1" customWidth="1"/>
    <col min="9" max="9" width="59.109375" bestFit="1" customWidth="1"/>
    <col min="10" max="10" width="67.6640625" bestFit="1" customWidth="1"/>
  </cols>
  <sheetData>
    <row r="3" spans="1:10" x14ac:dyDescent="0.3">
      <c r="B3" s="12" t="s">
        <v>57</v>
      </c>
    </row>
    <row r="4" spans="1:10" x14ac:dyDescent="0.3">
      <c r="B4" t="s">
        <v>2</v>
      </c>
      <c r="E4" t="s">
        <v>0</v>
      </c>
      <c r="H4" t="s">
        <v>90</v>
      </c>
      <c r="I4" t="s">
        <v>92</v>
      </c>
      <c r="J4" t="s">
        <v>94</v>
      </c>
    </row>
    <row r="5" spans="1:10" x14ac:dyDescent="0.3">
      <c r="A5" s="12" t="s">
        <v>55</v>
      </c>
      <c r="B5" t="s">
        <v>91</v>
      </c>
      <c r="C5" t="s">
        <v>93</v>
      </c>
      <c r="D5" t="s">
        <v>95</v>
      </c>
      <c r="E5" t="s">
        <v>91</v>
      </c>
      <c r="F5" t="s">
        <v>93</v>
      </c>
      <c r="G5" t="s">
        <v>95</v>
      </c>
    </row>
    <row r="6" spans="1:10" x14ac:dyDescent="0.3">
      <c r="A6" s="13">
        <v>45876</v>
      </c>
      <c r="B6" s="8">
        <v>1137.990525179398</v>
      </c>
      <c r="C6" s="8">
        <v>1711.6616775873852</v>
      </c>
      <c r="D6" s="8">
        <v>14.480523399447398</v>
      </c>
      <c r="E6" s="8">
        <v>1474.2218124536771</v>
      </c>
      <c r="F6" s="8">
        <v>2272.407871768658</v>
      </c>
      <c r="G6" s="8">
        <v>21.55959931082992</v>
      </c>
      <c r="H6" s="8">
        <v>1306.1061688165375</v>
      </c>
      <c r="I6" s="8">
        <v>1992.0347746780217</v>
      </c>
      <c r="J6" s="8">
        <v>18.020061355138662</v>
      </c>
    </row>
    <row r="7" spans="1:10" x14ac:dyDescent="0.3">
      <c r="A7" s="13">
        <v>45890</v>
      </c>
      <c r="B7" s="8">
        <v>1078.9316103381316</v>
      </c>
      <c r="C7" s="8">
        <v>1414.7801634940672</v>
      </c>
      <c r="D7" s="8">
        <v>8.6993860090014241</v>
      </c>
      <c r="E7" s="8">
        <v>1501.9534910588441</v>
      </c>
      <c r="F7" s="8">
        <v>2429.5058619988131</v>
      </c>
      <c r="G7" s="8">
        <v>19.480534306046042</v>
      </c>
      <c r="H7" s="8">
        <v>1290.4425506984878</v>
      </c>
      <c r="I7" s="8">
        <v>1922.1430127464403</v>
      </c>
      <c r="J7" s="8">
        <v>14.089960157523734</v>
      </c>
    </row>
    <row r="8" spans="1:10" x14ac:dyDescent="0.3">
      <c r="A8" s="13">
        <v>45904</v>
      </c>
      <c r="B8" s="8">
        <v>727.09969570387022</v>
      </c>
      <c r="C8" s="8">
        <v>1947.279585036694</v>
      </c>
      <c r="D8" s="8">
        <v>13.556992286637637</v>
      </c>
      <c r="E8" s="8">
        <v>1164.5887181605228</v>
      </c>
      <c r="F8" s="8">
        <v>2292.3381996838707</v>
      </c>
      <c r="G8" s="8">
        <v>17.840101511289799</v>
      </c>
      <c r="H8" s="8">
        <v>945.84420693219647</v>
      </c>
      <c r="I8" s="8">
        <v>2119.8088923602822</v>
      </c>
      <c r="J8" s="8">
        <v>15.698546898963716</v>
      </c>
    </row>
    <row r="9" spans="1:10" x14ac:dyDescent="0.3">
      <c r="A9" s="13">
        <v>45918</v>
      </c>
      <c r="B9" s="8">
        <v>762.9121034113416</v>
      </c>
      <c r="C9" s="8">
        <v>1240.8499102433473</v>
      </c>
      <c r="D9" s="8">
        <v>8.3920264423925399</v>
      </c>
      <c r="E9" s="8">
        <v>1022.4953778001608</v>
      </c>
      <c r="F9" s="8">
        <v>1611.5196781286668</v>
      </c>
      <c r="G9" s="8">
        <v>11.178684328392272</v>
      </c>
      <c r="H9" s="8">
        <v>892.70374060575125</v>
      </c>
      <c r="I9" s="8">
        <v>1426.1847941860071</v>
      </c>
      <c r="J9" s="8">
        <v>9.7853553853924051</v>
      </c>
    </row>
    <row r="10" spans="1:10" x14ac:dyDescent="0.3">
      <c r="A10" s="13">
        <v>45932</v>
      </c>
      <c r="B10" s="8">
        <v>768.17652491789727</v>
      </c>
      <c r="C10" s="8">
        <v>1327.3748778427557</v>
      </c>
      <c r="D10" s="8">
        <v>7.7626948158916962</v>
      </c>
      <c r="E10" s="8">
        <v>915.2151153026449</v>
      </c>
      <c r="F10" s="8">
        <v>1508.1475920394037</v>
      </c>
      <c r="G10" s="8">
        <v>8.8948313701828106</v>
      </c>
      <c r="H10" s="8">
        <v>841.69582011027114</v>
      </c>
      <c r="I10" s="8">
        <v>1417.7612349410797</v>
      </c>
      <c r="J10" s="8">
        <v>8.3287630930372529</v>
      </c>
    </row>
    <row r="11" spans="1:10" x14ac:dyDescent="0.3">
      <c r="A11" s="13">
        <v>45946</v>
      </c>
      <c r="B11" s="8">
        <v>647.50428320023377</v>
      </c>
      <c r="C11" s="8">
        <v>1183.1903494251383</v>
      </c>
      <c r="D11" s="8">
        <v>6.8779857117812133</v>
      </c>
      <c r="E11" s="8">
        <v>626.03889393893996</v>
      </c>
      <c r="F11" s="8">
        <v>1548.7099284030867</v>
      </c>
      <c r="G11" s="8">
        <v>8.5689450272958254</v>
      </c>
      <c r="H11" s="8">
        <v>636.77158856958681</v>
      </c>
      <c r="I11" s="8">
        <v>1365.9501389141126</v>
      </c>
      <c r="J11" s="8">
        <v>7.7234653695385189</v>
      </c>
    </row>
    <row r="12" spans="1:10" x14ac:dyDescent="0.3">
      <c r="A12" s="13">
        <v>45960</v>
      </c>
      <c r="B12" s="8">
        <v>646.85114554845313</v>
      </c>
      <c r="C12" s="8">
        <v>1125.3072693530319</v>
      </c>
      <c r="D12" s="8">
        <v>6.161822405813826</v>
      </c>
      <c r="E12" s="8">
        <v>508.65416446084879</v>
      </c>
      <c r="F12" s="8">
        <v>1508.462397739394</v>
      </c>
      <c r="G12" s="8">
        <v>7.1273252223981505</v>
      </c>
      <c r="H12" s="8">
        <v>577.75265500465093</v>
      </c>
      <c r="I12" s="8">
        <v>1316.884833546213</v>
      </c>
      <c r="J12" s="8">
        <v>6.6445738141059882</v>
      </c>
    </row>
    <row r="13" spans="1:10" x14ac:dyDescent="0.3">
      <c r="A13" s="13">
        <v>45974</v>
      </c>
      <c r="B13" s="8">
        <v>535.84157705758048</v>
      </c>
      <c r="C13" s="8">
        <v>813.74935008783132</v>
      </c>
      <c r="D13" s="8">
        <v>5.9079192274173407</v>
      </c>
      <c r="E13" s="8">
        <v>662.41594439532923</v>
      </c>
      <c r="F13" s="8">
        <v>1540.0721596091935</v>
      </c>
      <c r="G13" s="8">
        <v>8.8281685444975349</v>
      </c>
      <c r="H13" s="8">
        <v>599.12876072645486</v>
      </c>
      <c r="I13" s="8">
        <v>1176.9107548485124</v>
      </c>
      <c r="J13" s="8">
        <v>7.3680438859574373</v>
      </c>
    </row>
    <row r="14" spans="1:10" x14ac:dyDescent="0.3">
      <c r="A14" s="13">
        <v>45988</v>
      </c>
      <c r="B14" s="8">
        <v>443.48106502019073</v>
      </c>
      <c r="C14" s="8">
        <v>686.2009236462311</v>
      </c>
      <c r="D14" s="8">
        <v>7.0221746683847739</v>
      </c>
      <c r="E14" s="8">
        <v>481.69451718037465</v>
      </c>
      <c r="F14" s="8">
        <v>1298.920928101553</v>
      </c>
      <c r="G14" s="8">
        <v>8.467342904764422</v>
      </c>
      <c r="H14" s="8">
        <v>462.58779110028269</v>
      </c>
      <c r="I14" s="8">
        <v>992.56092587389196</v>
      </c>
      <c r="J14" s="8">
        <v>7.7447587865745984</v>
      </c>
    </row>
    <row r="15" spans="1:10" x14ac:dyDescent="0.3">
      <c r="A15" s="13">
        <v>46072</v>
      </c>
      <c r="B15" s="8">
        <v>428.39171432750084</v>
      </c>
      <c r="C15" s="8">
        <v>1093.2538068104504</v>
      </c>
      <c r="D15" s="8">
        <v>6.3850195118973296</v>
      </c>
      <c r="E15" s="8">
        <v>770.37770720302194</v>
      </c>
      <c r="F15" s="8">
        <v>1403.1853020962567</v>
      </c>
      <c r="G15" s="8">
        <v>8.5831940568047944</v>
      </c>
      <c r="H15" s="8">
        <v>599.38471076526139</v>
      </c>
      <c r="I15" s="8">
        <v>1248.2195544533533</v>
      </c>
      <c r="J15" s="8">
        <v>7.484106784351062</v>
      </c>
    </row>
    <row r="16" spans="1:10" x14ac:dyDescent="0.3">
      <c r="A16" s="13">
        <v>46086</v>
      </c>
      <c r="B16" s="8">
        <v>1248.607343401661</v>
      </c>
      <c r="C16" s="8">
        <v>1471.3163823308932</v>
      </c>
      <c r="D16" s="8">
        <v>8.3354243458292334</v>
      </c>
      <c r="E16" s="8">
        <v>1080.0912526077791</v>
      </c>
      <c r="F16" s="8">
        <v>1093.7266195081081</v>
      </c>
      <c r="G16" s="8">
        <v>7.4761277381007476</v>
      </c>
      <c r="H16" s="8">
        <v>1164.3492980047199</v>
      </c>
      <c r="I16" s="8">
        <v>1282.5215009195006</v>
      </c>
      <c r="J16" s="8">
        <v>7.9057760419649901</v>
      </c>
    </row>
    <row r="17" spans="1:10" x14ac:dyDescent="0.3">
      <c r="A17" s="13">
        <v>46100</v>
      </c>
      <c r="B17" s="8">
        <v>559.11454767899295</v>
      </c>
      <c r="C17" s="8">
        <v>1109.1647953821021</v>
      </c>
      <c r="D17" s="8">
        <v>6.0166287130192782</v>
      </c>
      <c r="E17" s="8">
        <v>865.51760485057889</v>
      </c>
      <c r="F17" s="8">
        <v>1222.6532310781549</v>
      </c>
      <c r="G17" s="8">
        <v>6.3828369497239867</v>
      </c>
      <c r="H17" s="8">
        <v>712.31607626478592</v>
      </c>
      <c r="I17" s="8">
        <v>1165.9090132301285</v>
      </c>
      <c r="J17" s="8">
        <v>6.1997328313716311</v>
      </c>
    </row>
    <row r="18" spans="1:10" x14ac:dyDescent="0.3">
      <c r="A18" s="13">
        <v>46114</v>
      </c>
      <c r="B18" s="8">
        <v>844.56040449202783</v>
      </c>
      <c r="C18" s="8">
        <v>864.08555801351793</v>
      </c>
      <c r="D18" s="8">
        <v>5.2057418821513828</v>
      </c>
      <c r="E18" s="8">
        <v>1757.1631477713734</v>
      </c>
      <c r="F18" s="8">
        <v>1086.2369198602005</v>
      </c>
      <c r="G18" s="8">
        <v>5.6280782575594674</v>
      </c>
      <c r="H18" s="8">
        <v>1300.8617761317005</v>
      </c>
      <c r="I18" s="8">
        <v>975.16123893685926</v>
      </c>
      <c r="J18" s="8">
        <v>5.4169100698554251</v>
      </c>
    </row>
    <row r="19" spans="1:10" x14ac:dyDescent="0.3">
      <c r="A19" s="13">
        <v>46128</v>
      </c>
      <c r="B19" s="8">
        <v>401.07212080916958</v>
      </c>
      <c r="C19" s="8">
        <v>548.02995556994051</v>
      </c>
      <c r="D19" s="8">
        <v>3.5792483828716017</v>
      </c>
      <c r="E19" s="8">
        <v>501.53085521298698</v>
      </c>
      <c r="F19" s="8">
        <v>651.27318330459298</v>
      </c>
      <c r="G19" s="8">
        <v>5.15059204449501</v>
      </c>
      <c r="H19" s="8">
        <v>451.30148801107828</v>
      </c>
      <c r="I19" s="8">
        <v>599.65156943726674</v>
      </c>
      <c r="J19" s="8">
        <v>4.3649202136833054</v>
      </c>
    </row>
    <row r="20" spans="1:10" x14ac:dyDescent="0.3">
      <c r="A20" s="13">
        <v>46141</v>
      </c>
      <c r="B20" s="8">
        <v>330.98085628262345</v>
      </c>
      <c r="C20" s="8">
        <v>540.09812405582511</v>
      </c>
      <c r="D20" s="8">
        <v>4.0685569920529669</v>
      </c>
      <c r="E20" s="8">
        <v>476.50118385969643</v>
      </c>
      <c r="F20" s="8">
        <v>714.07328587031066</v>
      </c>
      <c r="G20" s="8">
        <v>5.5322705782655319</v>
      </c>
      <c r="H20" s="8">
        <v>403.74102007115994</v>
      </c>
      <c r="I20" s="8">
        <v>627.08570496306788</v>
      </c>
      <c r="J20" s="8">
        <v>4.8004137851592485</v>
      </c>
    </row>
    <row r="21" spans="1:10" x14ac:dyDescent="0.3">
      <c r="A21" s="13">
        <v>46168</v>
      </c>
      <c r="B21" s="8">
        <v>758.50407659904795</v>
      </c>
      <c r="C21" s="8">
        <v>569.82254391328343</v>
      </c>
      <c r="D21" s="8">
        <v>4.1214538819621911</v>
      </c>
      <c r="E21" s="8">
        <v>616.27018365272033</v>
      </c>
      <c r="F21" s="8">
        <v>577.31871743535487</v>
      </c>
      <c r="G21" s="8">
        <v>4.330414938446383</v>
      </c>
      <c r="H21" s="8">
        <v>687.38713012588414</v>
      </c>
      <c r="I21" s="8">
        <v>573.5706306743192</v>
      </c>
      <c r="J21" s="8">
        <v>4.2259344102042871</v>
      </c>
    </row>
    <row r="22" spans="1:10" x14ac:dyDescent="0.3">
      <c r="A22" s="2" t="s">
        <v>56</v>
      </c>
      <c r="B22" s="8">
        <v>707.50122462300715</v>
      </c>
      <c r="C22" s="8">
        <v>1102.8853295495312</v>
      </c>
      <c r="D22" s="8">
        <v>7.2858499172844891</v>
      </c>
      <c r="E22" s="8">
        <v>901.54562311934399</v>
      </c>
      <c r="F22" s="8">
        <v>1422.4094922891015</v>
      </c>
      <c r="G22" s="8">
        <v>9.689315443068292</v>
      </c>
      <c r="H22" s="8">
        <v>804.52342387117562</v>
      </c>
      <c r="I22" s="8">
        <v>1262.6474109193161</v>
      </c>
      <c r="J22" s="8">
        <v>8.4875826801763878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8C72-2D07-4FA3-97F5-A332202A15A7}">
  <dimension ref="A1:G20"/>
  <sheetViews>
    <sheetView tabSelected="1" workbookViewId="0">
      <selection activeCell="E17" sqref="E17"/>
    </sheetView>
  </sheetViews>
  <sheetFormatPr baseColWidth="10" defaultRowHeight="14.4" x14ac:dyDescent="0.3"/>
  <cols>
    <col min="1" max="1" width="22.109375" bestFit="1" customWidth="1"/>
    <col min="2" max="2" width="24.88671875" bestFit="1" customWidth="1"/>
    <col min="3" max="3" width="23.33203125" bestFit="1" customWidth="1"/>
    <col min="4" max="4" width="24.88671875" bestFit="1" customWidth="1"/>
    <col min="5" max="5" width="23.33203125" bestFit="1" customWidth="1"/>
    <col min="6" max="6" width="32.88671875" bestFit="1" customWidth="1"/>
    <col min="7" max="7" width="31.33203125" bestFit="1" customWidth="1"/>
  </cols>
  <sheetData>
    <row r="1" spans="1:7" x14ac:dyDescent="0.3">
      <c r="B1" s="12" t="s">
        <v>57</v>
      </c>
    </row>
    <row r="2" spans="1:7" x14ac:dyDescent="0.3">
      <c r="B2" t="s">
        <v>2</v>
      </c>
      <c r="D2" t="s">
        <v>0</v>
      </c>
      <c r="F2" t="s">
        <v>96</v>
      </c>
      <c r="G2" t="s">
        <v>98</v>
      </c>
    </row>
    <row r="3" spans="1:7" x14ac:dyDescent="0.3">
      <c r="A3" s="12" t="s">
        <v>55</v>
      </c>
      <c r="B3" t="s">
        <v>97</v>
      </c>
      <c r="C3" t="s">
        <v>99</v>
      </c>
      <c r="D3" t="s">
        <v>97</v>
      </c>
      <c r="E3" t="s">
        <v>99</v>
      </c>
    </row>
    <row r="4" spans="1:7" x14ac:dyDescent="0.3">
      <c r="A4" s="13">
        <v>45876</v>
      </c>
      <c r="B4" s="14"/>
      <c r="C4" s="14"/>
      <c r="D4" s="14"/>
      <c r="E4" s="14"/>
      <c r="F4" s="14"/>
      <c r="G4" s="14"/>
    </row>
    <row r="5" spans="1:7" x14ac:dyDescent="0.3">
      <c r="A5" s="13">
        <v>45890</v>
      </c>
      <c r="B5" s="14"/>
      <c r="C5" s="14"/>
      <c r="D5" s="14"/>
      <c r="E5" s="14"/>
      <c r="F5" s="14"/>
      <c r="G5" s="14"/>
    </row>
    <row r="6" spans="1:7" x14ac:dyDescent="0.3">
      <c r="A6" s="13">
        <v>45904</v>
      </c>
      <c r="B6" s="14"/>
      <c r="C6" s="14"/>
      <c r="D6" s="14"/>
      <c r="E6" s="14"/>
      <c r="F6" s="14"/>
      <c r="G6" s="14"/>
    </row>
    <row r="7" spans="1:7" x14ac:dyDescent="0.3">
      <c r="A7" s="13">
        <v>45918</v>
      </c>
      <c r="B7" s="14"/>
      <c r="C7" s="14"/>
      <c r="D7" s="14"/>
      <c r="E7" s="14"/>
      <c r="F7" s="14"/>
      <c r="G7" s="14"/>
    </row>
    <row r="8" spans="1:7" x14ac:dyDescent="0.3">
      <c r="A8" s="13">
        <v>45932</v>
      </c>
      <c r="B8" s="8">
        <v>30.931249999999999</v>
      </c>
      <c r="C8" s="8">
        <v>20.149999999999999</v>
      </c>
      <c r="D8" s="8">
        <v>43.71875</v>
      </c>
      <c r="E8" s="8">
        <v>39.553750000000001</v>
      </c>
      <c r="F8" s="8">
        <v>37.325000000000003</v>
      </c>
      <c r="G8" s="8">
        <v>29.851874999999996</v>
      </c>
    </row>
    <row r="9" spans="1:7" x14ac:dyDescent="0.3">
      <c r="A9" s="13">
        <v>45946</v>
      </c>
      <c r="B9" s="8">
        <v>32.162500000000001</v>
      </c>
      <c r="C9" s="8">
        <v>20.46125</v>
      </c>
      <c r="D9" s="8">
        <v>41.40625</v>
      </c>
      <c r="E9" s="8">
        <v>35.025000000000006</v>
      </c>
      <c r="F9" s="8">
        <v>36.784375000000004</v>
      </c>
      <c r="G9" s="8">
        <v>27.743124999999999</v>
      </c>
    </row>
    <row r="10" spans="1:7" x14ac:dyDescent="0.3">
      <c r="A10" s="13">
        <v>45960</v>
      </c>
      <c r="B10" s="8">
        <v>33.625</v>
      </c>
      <c r="C10" s="8">
        <v>21.541249999999998</v>
      </c>
      <c r="D10" s="8">
        <v>42.3</v>
      </c>
      <c r="E10" s="8">
        <v>36.247500000000002</v>
      </c>
      <c r="F10" s="8">
        <v>37.962500000000006</v>
      </c>
      <c r="G10" s="8">
        <v>28.894375</v>
      </c>
    </row>
    <row r="11" spans="1:7" x14ac:dyDescent="0.3">
      <c r="A11" s="13">
        <v>45974</v>
      </c>
      <c r="B11" s="8">
        <v>30.674999999999997</v>
      </c>
      <c r="C11" s="8">
        <v>19.765050000000002</v>
      </c>
      <c r="D11" s="8">
        <v>40.387500000000003</v>
      </c>
      <c r="E11" s="8">
        <v>41.2079375</v>
      </c>
      <c r="F11" s="8">
        <v>35.53125</v>
      </c>
      <c r="G11" s="8">
        <v>30.486493750000001</v>
      </c>
    </row>
    <row r="12" spans="1:7" x14ac:dyDescent="0.3">
      <c r="A12" s="13">
        <v>45988</v>
      </c>
      <c r="B12" s="8">
        <v>30.365624999999998</v>
      </c>
      <c r="C12" s="8">
        <v>15.323749999999999</v>
      </c>
      <c r="D12" s="8">
        <v>43.2</v>
      </c>
      <c r="E12" s="8">
        <v>38.605000000000004</v>
      </c>
      <c r="F12" s="8">
        <v>36.782812499999999</v>
      </c>
      <c r="G12" s="8">
        <v>26.964374999999997</v>
      </c>
    </row>
    <row r="13" spans="1:7" x14ac:dyDescent="0.3">
      <c r="A13" s="13">
        <v>46072</v>
      </c>
      <c r="B13" s="44">
        <v>31.0625</v>
      </c>
      <c r="C13" s="22">
        <v>15.407499999999999</v>
      </c>
      <c r="D13" s="22">
        <v>42.59375</v>
      </c>
      <c r="E13" s="22">
        <v>35.46</v>
      </c>
      <c r="F13" s="22">
        <v>36.828125</v>
      </c>
      <c r="G13" s="22">
        <v>25.43375</v>
      </c>
    </row>
    <row r="14" spans="1:7" x14ac:dyDescent="0.3">
      <c r="A14" s="13">
        <v>46086</v>
      </c>
      <c r="B14" s="8">
        <v>31.956250000000001</v>
      </c>
      <c r="C14" s="8">
        <v>16.997500000000002</v>
      </c>
      <c r="D14" s="8">
        <v>44.181250000000006</v>
      </c>
      <c r="E14" s="8">
        <v>38.129999999999995</v>
      </c>
      <c r="F14" s="8">
        <v>38.068750000000001</v>
      </c>
      <c r="G14" s="8">
        <v>27.563750000000002</v>
      </c>
    </row>
    <row r="15" spans="1:7" x14ac:dyDescent="0.3">
      <c r="A15" s="13">
        <v>46100</v>
      </c>
      <c r="B15" s="8">
        <v>30.968750000000004</v>
      </c>
      <c r="C15" s="8">
        <v>16.16375</v>
      </c>
      <c r="D15" s="8">
        <v>43.212499999999999</v>
      </c>
      <c r="E15" s="8">
        <v>37.39</v>
      </c>
      <c r="F15" s="8">
        <v>37.090625000000003</v>
      </c>
      <c r="G15" s="8">
        <v>26.776875000000004</v>
      </c>
    </row>
    <row r="16" spans="1:7" x14ac:dyDescent="0.3">
      <c r="A16" s="13">
        <v>46114</v>
      </c>
      <c r="B16" s="8">
        <v>31.606249999999999</v>
      </c>
      <c r="C16" s="8">
        <v>16.41</v>
      </c>
      <c r="D16" s="8">
        <v>40.71875</v>
      </c>
      <c r="E16" s="8">
        <v>32.948749999999997</v>
      </c>
      <c r="F16" s="8">
        <v>36.162499999999994</v>
      </c>
      <c r="G16" s="8">
        <v>24.679374999999997</v>
      </c>
    </row>
    <row r="17" spans="1:7" x14ac:dyDescent="0.3">
      <c r="A17" s="13">
        <v>46128</v>
      </c>
      <c r="B17" s="8">
        <v>30.9375</v>
      </c>
      <c r="C17" s="8">
        <v>16.3</v>
      </c>
      <c r="D17" s="8">
        <v>42.512500000000003</v>
      </c>
      <c r="E17" s="8">
        <v>33.526250000000005</v>
      </c>
      <c r="F17" s="8">
        <v>36.725000000000001</v>
      </c>
      <c r="G17" s="8">
        <v>24.913125000000004</v>
      </c>
    </row>
    <row r="18" spans="1:7" x14ac:dyDescent="0.3">
      <c r="A18" s="13">
        <v>46141</v>
      </c>
      <c r="B18" s="8">
        <v>31.587499999999999</v>
      </c>
      <c r="C18" s="8">
        <v>17.940000000000001</v>
      </c>
      <c r="D18" s="8">
        <v>40.856250000000003</v>
      </c>
      <c r="E18" s="8">
        <v>32.797499999999999</v>
      </c>
      <c r="F18" s="8">
        <v>36.221874999999997</v>
      </c>
      <c r="G18" s="8">
        <v>25.368750000000002</v>
      </c>
    </row>
    <row r="19" spans="1:7" x14ac:dyDescent="0.3">
      <c r="A19" s="13">
        <v>46168</v>
      </c>
      <c r="B19" s="8">
        <v>31.543749999999999</v>
      </c>
      <c r="C19" s="8">
        <v>18.643750000000001</v>
      </c>
      <c r="D19" s="8">
        <v>42.443750000000001</v>
      </c>
      <c r="E19" s="8">
        <v>36.168750000000003</v>
      </c>
      <c r="F19" s="8">
        <v>36.993749999999999</v>
      </c>
      <c r="G19" s="8">
        <v>27.40625</v>
      </c>
    </row>
    <row r="20" spans="1:7" x14ac:dyDescent="0.3">
      <c r="A20" s="2" t="s">
        <v>56</v>
      </c>
      <c r="B20" s="8">
        <v>31.451822916666675</v>
      </c>
      <c r="C20" s="8">
        <v>17.925316666666664</v>
      </c>
      <c r="D20" s="8">
        <v>42.294270833333336</v>
      </c>
      <c r="E20" s="8">
        <v>36.421703125000001</v>
      </c>
      <c r="F20" s="8">
        <v>36.873046875000007</v>
      </c>
      <c r="G20" s="8">
        <v>27.17350989583333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2C92-B7C8-469C-80EB-F4EE58B60CFE}">
  <dimension ref="A1:F135"/>
  <sheetViews>
    <sheetView topLeftCell="A82" zoomScale="85" zoomScaleNormal="85" workbookViewId="0">
      <selection activeCell="L118" sqref="L118"/>
    </sheetView>
  </sheetViews>
  <sheetFormatPr baseColWidth="10" defaultRowHeight="14.4" outlineLevelRow="1" x14ac:dyDescent="0.3"/>
  <sheetData>
    <row r="1" spans="1:5" ht="21" x14ac:dyDescent="0.4">
      <c r="A1" s="9" t="s">
        <v>52</v>
      </c>
      <c r="E1" s="10" t="s">
        <v>54</v>
      </c>
    </row>
    <row r="2" spans="1:5" outlineLevel="1" x14ac:dyDescent="0.3"/>
    <row r="3" spans="1:5" outlineLevel="1" x14ac:dyDescent="0.3"/>
    <row r="4" spans="1:5" outlineLevel="1" x14ac:dyDescent="0.3"/>
    <row r="5" spans="1:5" outlineLevel="1" x14ac:dyDescent="0.3"/>
    <row r="6" spans="1:5" outlineLevel="1" x14ac:dyDescent="0.3"/>
    <row r="7" spans="1:5" outlineLevel="1" x14ac:dyDescent="0.3"/>
    <row r="8" spans="1:5" outlineLevel="1" x14ac:dyDescent="0.3"/>
    <row r="9" spans="1:5" outlineLevel="1" x14ac:dyDescent="0.3"/>
    <row r="10" spans="1:5" outlineLevel="1" x14ac:dyDescent="0.3"/>
    <row r="11" spans="1:5" outlineLevel="1" x14ac:dyDescent="0.3"/>
    <row r="12" spans="1:5" outlineLevel="1" x14ac:dyDescent="0.3"/>
    <row r="13" spans="1:5" outlineLevel="1" x14ac:dyDescent="0.3"/>
    <row r="14" spans="1:5" outlineLevel="1" x14ac:dyDescent="0.3"/>
    <row r="15" spans="1:5" outlineLevel="1" x14ac:dyDescent="0.3"/>
    <row r="16" spans="1:5" outlineLevel="1" x14ac:dyDescent="0.3"/>
    <row r="17" spans="5:6" outlineLevel="1" x14ac:dyDescent="0.3"/>
    <row r="18" spans="5:6" outlineLevel="1" x14ac:dyDescent="0.3"/>
    <row r="19" spans="5:6" ht="26.25" customHeight="1" outlineLevel="1" x14ac:dyDescent="0.3"/>
    <row r="20" spans="5:6" ht="28.5" customHeight="1" outlineLevel="1" x14ac:dyDescent="0.3">
      <c r="E20" s="10" t="s">
        <v>66</v>
      </c>
      <c r="F20" s="11"/>
    </row>
    <row r="21" spans="5:6" outlineLevel="1" x14ac:dyDescent="0.3"/>
    <row r="22" spans="5:6" outlineLevel="1" x14ac:dyDescent="0.3"/>
    <row r="23" spans="5:6" outlineLevel="1" x14ac:dyDescent="0.3"/>
    <row r="24" spans="5:6" outlineLevel="1" x14ac:dyDescent="0.3"/>
    <row r="25" spans="5:6" outlineLevel="1" x14ac:dyDescent="0.3"/>
    <row r="26" spans="5:6" outlineLevel="1" x14ac:dyDescent="0.3"/>
    <row r="27" spans="5:6" outlineLevel="1" x14ac:dyDescent="0.3"/>
    <row r="28" spans="5:6" outlineLevel="1" x14ac:dyDescent="0.3"/>
    <row r="29" spans="5:6" outlineLevel="1" x14ac:dyDescent="0.3"/>
    <row r="30" spans="5:6" outlineLevel="1" x14ac:dyDescent="0.3"/>
    <row r="31" spans="5:6" outlineLevel="1" x14ac:dyDescent="0.3"/>
    <row r="32" spans="5:6" outlineLevel="1" x14ac:dyDescent="0.3"/>
    <row r="33" spans="1:5" outlineLevel="1" x14ac:dyDescent="0.3"/>
    <row r="34" spans="1:5" outlineLevel="1" x14ac:dyDescent="0.3"/>
    <row r="35" spans="1:5" outlineLevel="1" x14ac:dyDescent="0.3"/>
    <row r="36" spans="1:5" outlineLevel="1" x14ac:dyDescent="0.3"/>
    <row r="37" spans="1:5" outlineLevel="1" x14ac:dyDescent="0.3"/>
    <row r="40" spans="1:5" ht="21" x14ac:dyDescent="0.4">
      <c r="A40" s="9" t="s">
        <v>67</v>
      </c>
      <c r="E40" s="10" t="s">
        <v>54</v>
      </c>
    </row>
    <row r="41" spans="1:5" outlineLevel="1" x14ac:dyDescent="0.3"/>
    <row r="42" spans="1:5" outlineLevel="1" x14ac:dyDescent="0.3"/>
    <row r="43" spans="1:5" outlineLevel="1" x14ac:dyDescent="0.3"/>
    <row r="44" spans="1:5" outlineLevel="1" x14ac:dyDescent="0.3"/>
    <row r="45" spans="1:5" outlineLevel="1" x14ac:dyDescent="0.3"/>
    <row r="46" spans="1:5" outlineLevel="1" x14ac:dyDescent="0.3"/>
    <row r="47" spans="1:5" outlineLevel="1" x14ac:dyDescent="0.3"/>
    <row r="48" spans="1:5" outlineLevel="1" x14ac:dyDescent="0.3"/>
    <row r="49" spans="5:6" outlineLevel="1" x14ac:dyDescent="0.3"/>
    <row r="50" spans="5:6" outlineLevel="1" x14ac:dyDescent="0.3"/>
    <row r="51" spans="5:6" outlineLevel="1" x14ac:dyDescent="0.3"/>
    <row r="52" spans="5:6" outlineLevel="1" x14ac:dyDescent="0.3"/>
    <row r="53" spans="5:6" outlineLevel="1" x14ac:dyDescent="0.3"/>
    <row r="54" spans="5:6" outlineLevel="1" x14ac:dyDescent="0.3"/>
    <row r="55" spans="5:6" outlineLevel="1" x14ac:dyDescent="0.3"/>
    <row r="56" spans="5:6" ht="16.8" customHeight="1" outlineLevel="1" x14ac:dyDescent="0.3">
      <c r="E56" s="10" t="s">
        <v>66</v>
      </c>
      <c r="F56" s="11"/>
    </row>
    <row r="57" spans="5:6" outlineLevel="1" x14ac:dyDescent="0.3"/>
    <row r="58" spans="5:6" outlineLevel="1" x14ac:dyDescent="0.3"/>
    <row r="59" spans="5:6" outlineLevel="1" x14ac:dyDescent="0.3"/>
    <row r="60" spans="5:6" outlineLevel="1" x14ac:dyDescent="0.3"/>
    <row r="61" spans="5:6" outlineLevel="1" x14ac:dyDescent="0.3"/>
    <row r="62" spans="5:6" outlineLevel="1" x14ac:dyDescent="0.3"/>
    <row r="63" spans="5:6" outlineLevel="1" x14ac:dyDescent="0.3"/>
    <row r="64" spans="5:6" outlineLevel="1" x14ac:dyDescent="0.3"/>
    <row r="65" spans="1:5" outlineLevel="1" x14ac:dyDescent="0.3"/>
    <row r="66" spans="1:5" outlineLevel="1" x14ac:dyDescent="0.3"/>
    <row r="67" spans="1:5" outlineLevel="1" x14ac:dyDescent="0.3"/>
    <row r="68" spans="1:5" outlineLevel="1" x14ac:dyDescent="0.3"/>
    <row r="69" spans="1:5" outlineLevel="1" x14ac:dyDescent="0.3"/>
    <row r="70" spans="1:5" outlineLevel="1" x14ac:dyDescent="0.3"/>
    <row r="71" spans="1:5" outlineLevel="1" x14ac:dyDescent="0.3"/>
    <row r="72" spans="1:5" outlineLevel="1" x14ac:dyDescent="0.3"/>
    <row r="75" spans="1:5" ht="24" customHeight="1" x14ac:dyDescent="0.4">
      <c r="A75" s="9" t="s">
        <v>53</v>
      </c>
      <c r="E75" s="10" t="s">
        <v>54</v>
      </c>
    </row>
    <row r="76" spans="1:5" outlineLevel="1" x14ac:dyDescent="0.3"/>
    <row r="77" spans="1:5" outlineLevel="1" x14ac:dyDescent="0.3"/>
    <row r="78" spans="1:5" outlineLevel="1" x14ac:dyDescent="0.3"/>
    <row r="79" spans="1:5" outlineLevel="1" x14ac:dyDescent="0.3"/>
    <row r="80" spans="1:5" outlineLevel="1" x14ac:dyDescent="0.3"/>
    <row r="81" spans="5:6" outlineLevel="1" x14ac:dyDescent="0.3"/>
    <row r="82" spans="5:6" outlineLevel="1" x14ac:dyDescent="0.3"/>
    <row r="83" spans="5:6" outlineLevel="1" x14ac:dyDescent="0.3"/>
    <row r="84" spans="5:6" outlineLevel="1" x14ac:dyDescent="0.3"/>
    <row r="85" spans="5:6" outlineLevel="1" x14ac:dyDescent="0.3"/>
    <row r="86" spans="5:6" outlineLevel="1" x14ac:dyDescent="0.3"/>
    <row r="87" spans="5:6" outlineLevel="1" x14ac:dyDescent="0.3"/>
    <row r="88" spans="5:6" outlineLevel="1" x14ac:dyDescent="0.3"/>
    <row r="89" spans="5:6" outlineLevel="1" x14ac:dyDescent="0.3"/>
    <row r="90" spans="5:6" outlineLevel="1" x14ac:dyDescent="0.3"/>
    <row r="91" spans="5:6" outlineLevel="1" x14ac:dyDescent="0.3"/>
    <row r="92" spans="5:6" outlineLevel="1" x14ac:dyDescent="0.3"/>
    <row r="93" spans="5:6" ht="31.5" customHeight="1" outlineLevel="1" x14ac:dyDescent="0.3"/>
    <row r="94" spans="5:6" outlineLevel="1" x14ac:dyDescent="0.3"/>
    <row r="95" spans="5:6" outlineLevel="1" x14ac:dyDescent="0.3"/>
    <row r="96" spans="5:6" ht="23.25" customHeight="1" outlineLevel="1" x14ac:dyDescent="0.3">
      <c r="E96" s="10" t="s">
        <v>66</v>
      </c>
      <c r="F96" s="11"/>
    </row>
    <row r="97" outlineLevel="1" x14ac:dyDescent="0.3"/>
    <row r="98" outlineLevel="1" x14ac:dyDescent="0.3"/>
    <row r="99" outlineLevel="1" x14ac:dyDescent="0.3"/>
    <row r="100" outlineLevel="1" x14ac:dyDescent="0.3"/>
    <row r="101" outlineLevel="1" x14ac:dyDescent="0.3"/>
    <row r="102" outlineLevel="1" x14ac:dyDescent="0.3"/>
    <row r="103" outlineLevel="1" x14ac:dyDescent="0.3"/>
    <row r="104" outlineLevel="1" x14ac:dyDescent="0.3"/>
    <row r="105" outlineLevel="1" x14ac:dyDescent="0.3"/>
    <row r="106" outlineLevel="1" x14ac:dyDescent="0.3"/>
    <row r="107" outlineLevel="1" x14ac:dyDescent="0.3"/>
    <row r="108" outlineLevel="1" x14ac:dyDescent="0.3"/>
    <row r="109" outlineLevel="1" x14ac:dyDescent="0.3"/>
    <row r="110" outlineLevel="1" x14ac:dyDescent="0.3"/>
    <row r="111" outlineLevel="1" x14ac:dyDescent="0.3"/>
    <row r="112" outlineLevel="1" x14ac:dyDescent="0.3"/>
    <row r="114" spans="1:5" ht="21" x14ac:dyDescent="0.4">
      <c r="A114" s="9" t="s">
        <v>100</v>
      </c>
      <c r="E114" s="10" t="s">
        <v>54</v>
      </c>
    </row>
    <row r="135" spans="5:6" x14ac:dyDescent="0.3">
      <c r="E135" s="10" t="s">
        <v>66</v>
      </c>
      <c r="F135" s="11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25-26_Diagram</vt:lpstr>
      <vt:lpstr>2025-26_Measurement</vt:lpstr>
      <vt:lpstr>2026_Climate</vt:lpstr>
      <vt:lpstr>2025_Climate</vt:lpstr>
      <vt:lpstr>PivotTable 1</vt:lpstr>
      <vt:lpstr>PivotTable 2</vt:lpstr>
      <vt:lpstr>PivotTable 3</vt:lpstr>
      <vt:lpstr>Summer2025_Diagram</vt:lpstr>
    </vt:vector>
  </TitlesOfParts>
  <Company>Hochschule Niederrhein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Liao</dc:creator>
  <cp:lastModifiedBy>Sijia Liao</cp:lastModifiedBy>
  <dcterms:created xsi:type="dcterms:W3CDTF">2025-08-11T09:30:45Z</dcterms:created>
  <dcterms:modified xsi:type="dcterms:W3CDTF">2026-09-08T10:11:02Z</dcterms:modified>
</cp:coreProperties>
</file>